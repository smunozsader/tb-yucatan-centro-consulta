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 de PGN" sheetId="1" r:id="rId4"/>
    <sheet state="visible" name="altas de UPP" sheetId="2" r:id="rId5"/>
    <sheet state="visible" name="altas de PSG" sheetId="3" r:id="rId6"/>
    <sheet state="visible" name="ACTUALIZACIONES DE UPP " sheetId="4" r:id="rId7"/>
    <sheet state="visible" name="Inventario Otras Especies" sheetId="5" r:id="rId8"/>
    <sheet state="visible" name="Atención UPP Por Especie" sheetId="6" r:id="rId9"/>
    <sheet state="visible" name="Identificadores Capturados" sheetId="7" r:id="rId10"/>
    <sheet state="visible" name="Barrido" sheetId="8" r:id="rId11"/>
    <sheet state="visible" name="Prestadores de Servicios Ganade" sheetId="9" r:id="rId12"/>
    <sheet state="visible" name="Identifiacores Recuperados en R" sheetId="10" r:id="rId13"/>
    <sheet state="visible" name="Identific. Ord. Matanza Docs CO" sheetId="11" r:id="rId14"/>
    <sheet state="visible" name="identificadores disponibles" sheetId="12" r:id="rId15"/>
    <sheet state="visible" name="informe individua TIA" sheetId="13" r:id="rId16"/>
    <sheet state="visible" name="informe individua PIA" sheetId="14" r:id="rId17"/>
    <sheet state="visible" name="INFORME REEMO" sheetId="15" r:id="rId18"/>
  </sheets>
  <definedNames/>
  <calcPr/>
</workbook>
</file>

<file path=xl/sharedStrings.xml><?xml version="1.0" encoding="utf-8"?>
<sst xmlns="http://schemas.openxmlformats.org/spreadsheetml/2006/main" count="246" uniqueCount="143">
  <si>
    <t>Servicios</t>
  </si>
  <si>
    <t>Unidades de Producción Pecuaria</t>
  </si>
  <si>
    <t>Prestadores de Servicios Ganaderos</t>
  </si>
  <si>
    <t>Poseedores de
 Équidos</t>
  </si>
  <si>
    <t>Poseedores de 
Ganado</t>
  </si>
  <si>
    <t>(Registros PGN)</t>
  </si>
  <si>
    <t>(UPP)</t>
  </si>
  <si>
    <t>(PSG)</t>
  </si>
  <si>
    <t>(PG)</t>
  </si>
  <si>
    <t>Altas</t>
  </si>
  <si>
    <t>Actualizaciones</t>
  </si>
  <si>
    <t>Total</t>
  </si>
  <si>
    <t>VENTANILLA</t>
  </si>
  <si>
    <t>Acumulado</t>
  </si>
  <si>
    <t>VAS TIZIMIN</t>
  </si>
  <si>
    <t>VAL BUCTZOTZ</t>
  </si>
  <si>
    <t>VAL VALLADOLID</t>
  </si>
  <si>
    <t>CSI TIZIMIN</t>
  </si>
  <si>
    <t>TOTAL</t>
  </si>
  <si>
    <t>Especie</t>
  </si>
  <si>
    <t>Inventario Altas</t>
  </si>
  <si>
    <t>Inventario Act</t>
  </si>
  <si>
    <t>Bovinos</t>
  </si>
  <si>
    <t>Ovinos</t>
  </si>
  <si>
    <t>Caprinos</t>
  </si>
  <si>
    <t>Colmenas</t>
  </si>
  <si>
    <t>UPP Vigentes</t>
  </si>
  <si>
    <t>UPP Suspendidas</t>
  </si>
  <si>
    <t>UPP Actualizadas</t>
  </si>
  <si>
    <t>% Avance</t>
  </si>
  <si>
    <t>Mes</t>
  </si>
  <si>
    <t>Identificadores Solicitados</t>
  </si>
  <si>
    <t>Identificadores Entregados</t>
  </si>
  <si>
    <t>identificadores devueltos</t>
  </si>
  <si>
    <t>Identificadores Capturados</t>
  </si>
  <si>
    <t>% AVANCE</t>
  </si>
  <si>
    <t>Actividad</t>
  </si>
  <si>
    <t>Tipo</t>
  </si>
  <si>
    <t>Histórico</t>
  </si>
  <si>
    <t>Con Opinion positiva</t>
  </si>
  <si>
    <t>Proceso concluido</t>
  </si>
  <si>
    <t>Nuevo ingreso (2025)</t>
  </si>
  <si>
    <t>Engordador</t>
  </si>
  <si>
    <t>P01</t>
  </si>
  <si>
    <t>Acopiador</t>
  </si>
  <si>
    <t>P02</t>
  </si>
  <si>
    <t>Establecimiento de sacrificio</t>
  </si>
  <si>
    <t>P03</t>
  </si>
  <si>
    <t>Comercializadoras</t>
  </si>
  <si>
    <t>P05</t>
  </si>
  <si>
    <t>Ferias y Exposiciones</t>
  </si>
  <si>
    <t>P08</t>
  </si>
  <si>
    <t>Acopiador de productos y subproductos</t>
  </si>
  <si>
    <t>P09</t>
  </si>
  <si>
    <t>Introductor de Ganado</t>
  </si>
  <si>
    <t>P10</t>
  </si>
  <si>
    <t>Predio de Repasto</t>
  </si>
  <si>
    <t>P14</t>
  </si>
  <si>
    <t>Corrales de Acopio para Exportación</t>
  </si>
  <si>
    <t>P17</t>
  </si>
  <si>
    <t>Organizaciones Ganaderas</t>
  </si>
  <si>
    <t>P18</t>
  </si>
  <si>
    <t>Subasta Ganadera</t>
  </si>
  <si>
    <t>P19</t>
  </si>
  <si>
    <t>Totales</t>
  </si>
  <si>
    <t>RASTRO 2025</t>
  </si>
  <si>
    <t>total</t>
  </si>
  <si>
    <t>TOTALES</t>
  </si>
  <si>
    <t>MES</t>
  </si>
  <si>
    <t>ID RECUPERADOS</t>
  </si>
  <si>
    <t>ÓRDENES DE MATANZA</t>
  </si>
  <si>
    <t>DOCUMENTADOS CON REEMO</t>
  </si>
  <si>
    <t>Ventanilla</t>
  </si>
  <si>
    <t>VAS Tizimín</t>
  </si>
  <si>
    <t>Buctzotz</t>
  </si>
  <si>
    <t>VAL Valladolid</t>
  </si>
  <si>
    <t>CLAVE</t>
  </si>
  <si>
    <t>NOMBRE</t>
  </si>
  <si>
    <t>UPP</t>
  </si>
  <si>
    <t>ID COLOCADOS</t>
  </si>
  <si>
    <t>TIEMPO DE DEVOLUCION</t>
  </si>
  <si>
    <t>MARTIN ANTONIO TORRES HERRERA</t>
  </si>
  <si>
    <t>PABLO ARMANDO ALAMILLA AYALA</t>
  </si>
  <si>
    <t>DOMINGO ALEJANDRO SOBERANIS LOPEZ</t>
  </si>
  <si>
    <t>ISIDRO MANUEL DUARTE ARANDA</t>
  </si>
  <si>
    <t>JORGE CARLOS CONCHA CUTZ</t>
  </si>
  <si>
    <t>SIXTO RAYMUNDO LOPEZ DIAZ</t>
  </si>
  <si>
    <t>JORGE ISRAEL RODRIGUEZ MARTIN</t>
  </si>
  <si>
    <t>RODRIGO EMANUEL NOH PUCH</t>
  </si>
  <si>
    <t>CARLOS IVAN SOBERANIS LOPEZ</t>
  </si>
  <si>
    <t>FIDEL GERONIMO SANCHEZ SANCHEZ</t>
  </si>
  <si>
    <t>MANUEL BENJAMIN PALOMO CEH</t>
  </si>
  <si>
    <t>ROGER ALFONSO POOT EUAN</t>
  </si>
  <si>
    <t>EDUARDO DAVID TORRES MUÑOZ</t>
  </si>
  <si>
    <t>LUIS ARMANDO CHOC KUMUL</t>
  </si>
  <si>
    <t>ANDRES YOBANNY HUCHIN DZUL</t>
  </si>
  <si>
    <t>UBALDO DZUL CANCHE</t>
  </si>
  <si>
    <t>CARLOS MANUEL UITZIL UUH</t>
  </si>
  <si>
    <t>ELMER FONSECA CANEPA</t>
  </si>
  <si>
    <t>TOMAS LOPEZ BENITEZ</t>
  </si>
  <si>
    <t>ALFREDO MORALES VAZQUEZ</t>
  </si>
  <si>
    <t>JESUS ALEXANDRO FERNANDEZ PEREZ</t>
  </si>
  <si>
    <t>NADIA SAMANTA CAUICH CANCHE</t>
  </si>
  <si>
    <t>VICTOR HERNANDEZ SOLORIO</t>
  </si>
  <si>
    <t>IVONNE ESTEFANÍA GALERA CHAN</t>
  </si>
  <si>
    <t>SAIDY PATRICIA CAUICH DZUL</t>
  </si>
  <si>
    <t>GABRIEL TUN CHAN</t>
  </si>
  <si>
    <t>HUGO JESUS MILLAN CORTES</t>
  </si>
  <si>
    <t>MANUEL ANTONIO NOVELO PENICHE</t>
  </si>
  <si>
    <t>ALBERTO ROSA TUN OJEDA</t>
  </si>
  <si>
    <t>MANUEL JESUS ARAUJO ALAMILLA</t>
  </si>
  <si>
    <t>PERLA VERÓNICA SANCHEZ MORALEZ</t>
  </si>
  <si>
    <t>ALBERTO GREGORIO MOTOYA CHUMBA</t>
  </si>
  <si>
    <t>CARLOS IGNACIO GUTIERREZ PERAZA</t>
  </si>
  <si>
    <t>DANIEL HUMBERTO LORIA OSORNO</t>
  </si>
  <si>
    <t>DAVID JOEL CHABLE VARGUEZ</t>
  </si>
  <si>
    <t>FERNANDO DE ATOCHA LOPEZ ACEVEDO</t>
  </si>
  <si>
    <t>MARCOS MIGUEL MEDINA ACHAC</t>
  </si>
  <si>
    <t>WILBERTH ANTONIO MONFORTE AGUILAR</t>
  </si>
  <si>
    <t>UNION GANADERA REGIONAL DEL ORIENTE DE YUCATAN</t>
  </si>
  <si>
    <t>MOISES CHABLE MAY</t>
  </si>
  <si>
    <t>PRODUCTOR IDENTIFICADOR AUTORIZADO</t>
  </si>
  <si>
    <t>IDS</t>
  </si>
  <si>
    <t>DEVUELTOS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</si>
  <si>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</si>
  <si>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</si>
  <si>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</si>
  <si>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</si>
  <si>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</si>
  <si>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</si>
  <si>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</si>
  <si>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</si>
  <si>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</si>
  <si>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</si>
  <si>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</si>
  <si>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</si>
  <si>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Destino</t>
  </si>
  <si>
    <t>Guias Realizadas</t>
  </si>
  <si>
    <t>1. Rastro en Yucatán</t>
  </si>
  <si>
    <t>2. Rastro Fuera del Estado</t>
  </si>
  <si>
    <t>3. UPP/PSG en el Estado</t>
  </si>
  <si>
    <t>4. UPP/PSG Fuera del Estado</t>
  </si>
  <si>
    <t>Cabezas Movilizadas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</si>
</sst>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"/>
  </numFmts>
  <fonts count="17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sz val="12.0"/>
      <color rgb="FF000000"/>
      <name val="Calibri"/>
    </font>
    <font>
      <sz val="12.0"/>
      <color theme="1"/>
      <name val="Arial"/>
      <scheme val="minor"/>
    </font>
    <font>
      <b/>
      <sz val="13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>
      <sz val="13.0"/>
      <color theme="1"/>
      <name val="Calibri"/>
    </font>
    <font>
      <sz val="13.0"/>
      <color rgb="FF000000"/>
      <name val="Calibri"/>
    </font>
    <font>
      <sz val="16.0"/>
      <color rgb="FF000000"/>
      <name val="Calibri"/>
    </font>
    <font>
      <sz val="13.0"/>
      <color theme="1"/>
      <name val="Arial"/>
      <scheme val="minor"/>
    </font>
    <font>
      <b/>
      <sz val="18.0"/>
      <color rgb="FF000000"/>
      <name val="Calibri"/>
    </font>
    <font>
      <sz val="18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E8EBF5"/>
        <bgColor rgb="FFE8EBF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8" numFmtId="0" xfId="0" applyFont="1"/>
    <xf borderId="0" fillId="0" fontId="9" numFmtId="3" xfId="0" applyAlignment="1" applyFont="1" applyNumberFormat="1">
      <alignment horizontal="right" readingOrder="0"/>
    </xf>
    <xf borderId="0" fillId="0" fontId="9" numFmtId="164" xfId="0" applyAlignment="1" applyFont="1" applyNumberFormat="1">
      <alignment horizontal="center" readingOrder="0"/>
    </xf>
    <xf borderId="0" fillId="0" fontId="8" numFmtId="3" xfId="0" applyAlignment="1" applyFont="1" applyNumberFormat="1">
      <alignment horizontal="right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readingOrder="0"/>
    </xf>
    <xf borderId="0" fillId="0" fontId="7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right" readingOrder="0"/>
    </xf>
    <xf borderId="0" fillId="0" fontId="5" numFmtId="10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9" numFmtId="164" xfId="0" applyAlignment="1" applyFont="1" applyNumberFormat="1">
      <alignment horizontal="left" readingOrder="0"/>
    </xf>
    <xf borderId="0" fillId="0" fontId="5" numFmtId="3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0" fontId="12" numFmtId="164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10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3" numFmtId="0" xfId="0" applyFont="1"/>
    <xf borderId="0" fillId="0" fontId="5" numFmtId="9" xfId="0" applyAlignment="1" applyFont="1" applyNumberFormat="1">
      <alignment horizontal="right" readingOrder="0" shrinkToFit="0" vertical="center" wrapText="1"/>
    </xf>
    <xf borderId="0" fillId="0" fontId="9" numFmtId="3" xfId="0" applyAlignment="1" applyFont="1" applyNumberFormat="1">
      <alignment horizontal="right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3" fontId="13" numFmtId="0" xfId="0" applyAlignment="1" applyFill="1" applyFont="1">
      <alignment shrinkToFit="0" vertical="center" wrapText="1"/>
    </xf>
    <xf borderId="0" fillId="0" fontId="11" numFmtId="3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horizontal="center" readingOrder="0"/>
    </xf>
    <xf borderId="0" fillId="0" fontId="9" numFmtId="3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3" xfId="0" applyAlignment="1" applyFont="1" applyNumberFormat="1">
      <alignment horizontal="right" readingOrder="0"/>
    </xf>
    <xf borderId="0" fillId="0" fontId="6" numFmtId="3" xfId="0" applyFont="1" applyNumberFormat="1"/>
    <xf borderId="0" fillId="0" fontId="9" numFmtId="3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3" xfId="0" applyAlignment="1" applyFont="1" applyNumberFormat="1">
      <alignment horizontal="center" readingOrder="0"/>
    </xf>
    <xf borderId="0" fillId="0" fontId="8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3" xfId="0" applyAlignment="1" applyFont="1" applyNumberFormat="1">
      <alignment horizontal="right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3" xfId="0" applyAlignment="1" applyFont="1" applyNumberFormat="1">
      <alignment horizontal="right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center" readingOrder="0"/>
    </xf>
    <xf borderId="0" fillId="4" fontId="16" numFmtId="0" xfId="0" applyAlignment="1" applyFill="1" applyFont="1">
      <alignment vertical="bottom"/>
    </xf>
    <xf borderId="0" fillId="0" fontId="2" numFmtId="3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shrinkToFit="0" wrapText="1"/>
    </xf>
    <xf borderId="0" fillId="0" fontId="16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9" numFmtId="3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2.88"/>
    <col customWidth="1" min="3" max="6" width="19.0"/>
    <col customWidth="1" min="7" max="26" width="13.13"/>
  </cols>
  <sheetData>
    <row r="1" ht="47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5</v>
      </c>
      <c r="C2" s="2" t="s">
        <v>6</v>
      </c>
      <c r="D2" s="2" t="s">
        <v>7</v>
      </c>
      <c r="E2" s="2" t="s">
        <v>8</v>
      </c>
      <c r="F2" s="2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45688.0</v>
      </c>
      <c r="B3" s="4" t="s">
        <v>9</v>
      </c>
      <c r="C3" s="5">
        <v>37.0</v>
      </c>
      <c r="D3" s="5">
        <v>16.0</v>
      </c>
      <c r="E3" s="5">
        <v>0.0</v>
      </c>
      <c r="F3" s="5">
        <v>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B4" s="7" t="s">
        <v>10</v>
      </c>
      <c r="C4" s="8">
        <v>546.0</v>
      </c>
      <c r="D4" s="9">
        <v>0.0</v>
      </c>
      <c r="E4" s="9">
        <v>0.0</v>
      </c>
      <c r="F4" s="9">
        <v>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45716.0</v>
      </c>
      <c r="B5" s="4" t="s">
        <v>9</v>
      </c>
      <c r="C5" s="5">
        <v>45.0</v>
      </c>
      <c r="D5" s="5">
        <v>39.0</v>
      </c>
      <c r="E5" s="5">
        <v>0.0</v>
      </c>
      <c r="F5" s="5">
        <v>0.0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/>
      <c r="B6" s="7" t="s">
        <v>10</v>
      </c>
      <c r="C6" s="8">
        <v>822.0</v>
      </c>
      <c r="D6" s="9">
        <v>42.0</v>
      </c>
      <c r="E6" s="9">
        <v>0.0</v>
      </c>
      <c r="F6" s="9">
        <v>0.0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45747.0</v>
      </c>
      <c r="B7" s="4" t="s">
        <v>9</v>
      </c>
      <c r="C7" s="5">
        <v>44.0</v>
      </c>
      <c r="D7" s="5">
        <v>26.0</v>
      </c>
      <c r="E7" s="5">
        <v>0.0</v>
      </c>
      <c r="F7" s="5">
        <v>0.0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/>
      <c r="B8" s="7" t="s">
        <v>10</v>
      </c>
      <c r="C8" s="8">
        <v>710.0</v>
      </c>
      <c r="D8" s="9">
        <v>0.0</v>
      </c>
      <c r="E8" s="9">
        <v>0.0</v>
      </c>
      <c r="F8" s="9">
        <v>0.0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45777.0</v>
      </c>
      <c r="B9" s="4" t="s">
        <v>9</v>
      </c>
      <c r="C9" s="5">
        <v>44.0</v>
      </c>
      <c r="D9" s="5">
        <v>19.0</v>
      </c>
      <c r="E9" s="5">
        <v>0.0</v>
      </c>
      <c r="F9" s="5">
        <v>0.0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B10" s="7" t="s">
        <v>10</v>
      </c>
      <c r="C10" s="8">
        <v>898.0</v>
      </c>
      <c r="D10" s="9">
        <v>19.0</v>
      </c>
      <c r="E10" s="9">
        <v>0.0</v>
      </c>
      <c r="F10" s="9">
        <v>0.0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45808.0</v>
      </c>
      <c r="B11" s="4" t="s">
        <v>9</v>
      </c>
      <c r="C11" s="5">
        <v>46.0</v>
      </c>
      <c r="D11" s="5">
        <v>21.0</v>
      </c>
      <c r="E11" s="5">
        <v>0.0</v>
      </c>
      <c r="F11" s="5">
        <v>0.0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/>
      <c r="B12" s="7" t="s">
        <v>10</v>
      </c>
      <c r="C12" s="8">
        <v>1050.0</v>
      </c>
      <c r="D12" s="9">
        <v>27.0</v>
      </c>
      <c r="E12" s="9">
        <v>0.0</v>
      </c>
      <c r="F12" s="9">
        <v>0.0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45838.0</v>
      </c>
      <c r="B13" s="4" t="s">
        <v>9</v>
      </c>
      <c r="C13" s="5">
        <v>37.0</v>
      </c>
      <c r="D13" s="5">
        <v>18.0</v>
      </c>
      <c r="E13" s="5">
        <v>0.0</v>
      </c>
      <c r="F13" s="5">
        <v>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/>
      <c r="B14" s="7" t="s">
        <v>10</v>
      </c>
      <c r="C14" s="8">
        <v>1210.0</v>
      </c>
      <c r="D14" s="9">
        <v>0.0</v>
      </c>
      <c r="E14" s="9">
        <v>0.0</v>
      </c>
      <c r="F14" s="9">
        <v>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45869.0</v>
      </c>
      <c r="B15" s="4" t="s">
        <v>9</v>
      </c>
      <c r="C15" s="5">
        <v>12.0</v>
      </c>
      <c r="D15" s="5">
        <v>13.0</v>
      </c>
      <c r="E15" s="5">
        <v>0.0</v>
      </c>
      <c r="F15" s="5">
        <v>0.0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/>
      <c r="B16" s="7" t="s">
        <v>10</v>
      </c>
      <c r="C16" s="8">
        <v>5.0</v>
      </c>
      <c r="D16" s="9">
        <v>17.0</v>
      </c>
      <c r="E16" s="9">
        <v>0.0</v>
      </c>
      <c r="F16" s="9">
        <v>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45900.0</v>
      </c>
      <c r="B17" s="4" t="s">
        <v>9</v>
      </c>
      <c r="C17" s="5">
        <v>21.0</v>
      </c>
      <c r="D17" s="5">
        <v>15.0</v>
      </c>
      <c r="E17" s="5">
        <v>0.0</v>
      </c>
      <c r="F17" s="5">
        <v>0.0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/>
      <c r="B18" s="7" t="s">
        <v>10</v>
      </c>
      <c r="C18" s="8">
        <v>271.0</v>
      </c>
      <c r="D18" s="9">
        <v>121.0</v>
      </c>
      <c r="E18" s="9">
        <v>0.0</v>
      </c>
      <c r="F18" s="9">
        <v>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45930.0</v>
      </c>
      <c r="B19" s="4" t="s">
        <v>9</v>
      </c>
      <c r="C19" s="5">
        <v>29.0</v>
      </c>
      <c r="D19" s="5">
        <v>49.0</v>
      </c>
      <c r="E19" s="5">
        <v>0.0</v>
      </c>
      <c r="F19" s="5">
        <v>0.0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/>
      <c r="B20" s="7" t="s">
        <v>10</v>
      </c>
      <c r="C20" s="8">
        <v>613.0</v>
      </c>
      <c r="D20" s="9">
        <v>109.0</v>
      </c>
      <c r="E20" s="9">
        <v>0.0</v>
      </c>
      <c r="F20" s="9">
        <v>0.0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45961.0</v>
      </c>
      <c r="B21" s="4" t="s">
        <v>9</v>
      </c>
      <c r="C21" s="5"/>
      <c r="D21" s="5"/>
      <c r="E21" s="5"/>
      <c r="F21" s="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/>
      <c r="B22" s="7" t="s">
        <v>10</v>
      </c>
      <c r="C22" s="8"/>
      <c r="D22" s="9"/>
      <c r="E22" s="9"/>
      <c r="F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45991.0</v>
      </c>
      <c r="B23" s="4" t="s">
        <v>9</v>
      </c>
      <c r="C23" s="5"/>
      <c r="D23" s="5"/>
      <c r="E23" s="5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/>
      <c r="B24" s="7" t="s">
        <v>10</v>
      </c>
      <c r="C24" s="8"/>
      <c r="D24" s="9"/>
      <c r="E24" s="9"/>
      <c r="F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46022.0</v>
      </c>
      <c r="B25" s="4" t="s">
        <v>9</v>
      </c>
      <c r="C25" s="5"/>
      <c r="D25" s="5"/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/>
      <c r="B26" s="7" t="s">
        <v>10</v>
      </c>
      <c r="C26" s="8"/>
      <c r="D26" s="9"/>
      <c r="E26" s="9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0" t="s">
        <v>11</v>
      </c>
      <c r="B27" s="4" t="s">
        <v>9</v>
      </c>
      <c r="C27" s="5">
        <f t="shared" ref="C27:F27" si="1">C3+C5+C7+C9+C11+C13+C15+C17+C19+C21+C23+C25</f>
        <v>315</v>
      </c>
      <c r="D27" s="5">
        <f t="shared" si="1"/>
        <v>216</v>
      </c>
      <c r="E27" s="5">
        <f t="shared" si="1"/>
        <v>0</v>
      </c>
      <c r="F27" s="5">
        <f t="shared" si="1"/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/>
      <c r="B28" s="7" t="s">
        <v>10</v>
      </c>
      <c r="C28" s="8">
        <f>C4+C6+C8+C10+C12+C14+C16+C18+C20+C22+C24+C26</f>
        <v>6125</v>
      </c>
      <c r="D28" s="9">
        <v>23.0</v>
      </c>
      <c r="E28" s="9">
        <v>0.0</v>
      </c>
      <c r="F28" s="9">
        <v>0.0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3">
    <mergeCell ref="A17:A18"/>
    <mergeCell ref="A19:A20"/>
    <mergeCell ref="A21:A22"/>
    <mergeCell ref="A23:A24"/>
    <mergeCell ref="A25:A26"/>
    <mergeCell ref="A27:A28"/>
    <mergeCell ref="A3:A4"/>
    <mergeCell ref="A5:A6"/>
    <mergeCell ref="A7:A8"/>
    <mergeCell ref="A9:A10"/>
    <mergeCell ref="A11:A12"/>
    <mergeCell ref="A13:A14"/>
    <mergeCell ref="A15:A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11" max="14" width="13.63"/>
  </cols>
  <sheetData>
    <row r="1">
      <c r="A1" s="11" t="s">
        <v>12</v>
      </c>
      <c r="B1" s="12">
        <v>45688.0</v>
      </c>
      <c r="C1" s="12">
        <v>45716.0</v>
      </c>
      <c r="D1" s="12">
        <v>45747.0</v>
      </c>
      <c r="E1" s="12">
        <v>45777.0</v>
      </c>
      <c r="F1" s="12">
        <v>45808.0</v>
      </c>
      <c r="G1" s="12">
        <v>45838.0</v>
      </c>
      <c r="H1" s="12">
        <v>45869.0</v>
      </c>
      <c r="I1" s="12">
        <v>45900.0</v>
      </c>
      <c r="J1" s="12">
        <v>45930.0</v>
      </c>
      <c r="K1" s="12">
        <v>45961.0</v>
      </c>
      <c r="L1" s="12">
        <v>45991.0</v>
      </c>
      <c r="M1" s="12">
        <v>46022.0</v>
      </c>
      <c r="N1" s="11" t="s">
        <v>13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4" t="s">
        <v>14</v>
      </c>
      <c r="B2" s="15">
        <v>26.0</v>
      </c>
      <c r="C2" s="15">
        <v>35.0</v>
      </c>
      <c r="D2" s="15">
        <v>34.0</v>
      </c>
      <c r="E2" s="15">
        <v>28.0</v>
      </c>
      <c r="F2" s="15">
        <v>33.0</v>
      </c>
      <c r="G2" s="15">
        <v>33.0</v>
      </c>
      <c r="H2" s="15">
        <v>11.0</v>
      </c>
      <c r="I2" s="15">
        <v>9.0</v>
      </c>
      <c r="J2" s="15">
        <v>10.0</v>
      </c>
      <c r="K2" s="16"/>
      <c r="L2" s="16"/>
      <c r="M2" s="16"/>
      <c r="N2" s="16">
        <f t="shared" ref="N2:N5" si="1">SUM(B2:M2)</f>
        <v>219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4" t="s">
        <v>15</v>
      </c>
      <c r="B3" s="15">
        <v>1.0</v>
      </c>
      <c r="C3" s="15">
        <v>5.0</v>
      </c>
      <c r="D3" s="15">
        <v>0.0</v>
      </c>
      <c r="E3" s="15">
        <v>4.0</v>
      </c>
      <c r="F3" s="15">
        <v>6.0</v>
      </c>
      <c r="G3" s="15">
        <v>1.0</v>
      </c>
      <c r="H3" s="15">
        <v>0.0</v>
      </c>
      <c r="I3" s="15">
        <v>1.0</v>
      </c>
      <c r="J3" s="15">
        <v>2.0</v>
      </c>
      <c r="K3" s="16"/>
      <c r="L3" s="16"/>
      <c r="M3" s="16"/>
      <c r="N3" s="16">
        <f t="shared" si="1"/>
        <v>20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4" t="s">
        <v>16</v>
      </c>
      <c r="B4" s="15">
        <v>10.0</v>
      </c>
      <c r="C4" s="15">
        <v>5.0</v>
      </c>
      <c r="D4" s="15">
        <v>10.0</v>
      </c>
      <c r="E4" s="15">
        <v>12.0</v>
      </c>
      <c r="F4" s="15">
        <v>7.0</v>
      </c>
      <c r="G4" s="15">
        <v>3.0</v>
      </c>
      <c r="H4" s="15">
        <v>1.0</v>
      </c>
      <c r="I4" s="15">
        <v>11.0</v>
      </c>
      <c r="J4" s="15">
        <v>17.0</v>
      </c>
      <c r="K4" s="16"/>
      <c r="L4" s="16"/>
      <c r="M4" s="16"/>
      <c r="N4" s="16">
        <f t="shared" si="1"/>
        <v>76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4" t="s">
        <v>17</v>
      </c>
      <c r="B5" s="15">
        <v>0.0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0.0</v>
      </c>
      <c r="K5" s="16"/>
      <c r="L5" s="16"/>
      <c r="M5" s="16"/>
      <c r="N5" s="16">
        <f t="shared" si="1"/>
        <v>0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1" t="s">
        <v>18</v>
      </c>
      <c r="B6" s="11">
        <f t="shared" ref="B6:N6" si="2">SUM(B2:B5)</f>
        <v>37</v>
      </c>
      <c r="C6" s="11">
        <f t="shared" si="2"/>
        <v>45</v>
      </c>
      <c r="D6" s="11">
        <f t="shared" si="2"/>
        <v>44</v>
      </c>
      <c r="E6" s="11">
        <f t="shared" si="2"/>
        <v>44</v>
      </c>
      <c r="F6" s="11">
        <f t="shared" si="2"/>
        <v>46</v>
      </c>
      <c r="G6" s="11">
        <f t="shared" si="2"/>
        <v>37</v>
      </c>
      <c r="H6" s="11">
        <f t="shared" si="2"/>
        <v>12</v>
      </c>
      <c r="I6" s="11">
        <f t="shared" si="2"/>
        <v>21</v>
      </c>
      <c r="J6" s="11">
        <f t="shared" si="2"/>
        <v>29</v>
      </c>
      <c r="K6" s="16">
        <f t="shared" si="2"/>
        <v>0</v>
      </c>
      <c r="L6" s="16">
        <f t="shared" si="2"/>
        <v>0</v>
      </c>
      <c r="M6" s="16">
        <f t="shared" si="2"/>
        <v>0</v>
      </c>
      <c r="N6" s="16">
        <f t="shared" si="2"/>
        <v>315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12</v>
      </c>
      <c r="B1" s="18">
        <v>45688.0</v>
      </c>
      <c r="C1" s="18">
        <v>45716.0</v>
      </c>
      <c r="D1" s="18">
        <v>45747.0</v>
      </c>
      <c r="E1" s="18">
        <v>45777.0</v>
      </c>
      <c r="F1" s="18">
        <v>45808.0</v>
      </c>
      <c r="G1" s="18">
        <v>45838.0</v>
      </c>
      <c r="H1" s="18">
        <v>45869.0</v>
      </c>
      <c r="I1" s="18">
        <v>45900.0</v>
      </c>
      <c r="J1" s="18">
        <v>45930.0</v>
      </c>
      <c r="K1" s="18">
        <v>45961.0</v>
      </c>
      <c r="L1" s="18">
        <v>45991.0</v>
      </c>
      <c r="M1" s="18">
        <v>46022.0</v>
      </c>
      <c r="N1" s="17" t="s">
        <v>13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>
      <c r="A2" s="14" t="s">
        <v>14</v>
      </c>
      <c r="B2" s="15">
        <v>12.0</v>
      </c>
      <c r="C2" s="15">
        <v>33.0</v>
      </c>
      <c r="D2" s="15">
        <v>14.0</v>
      </c>
      <c r="E2" s="15">
        <v>12.0</v>
      </c>
      <c r="F2" s="15">
        <v>16.0</v>
      </c>
      <c r="G2" s="15">
        <v>14.0</v>
      </c>
      <c r="H2" s="15">
        <v>13.0</v>
      </c>
      <c r="I2" s="15">
        <v>9.0</v>
      </c>
      <c r="J2" s="15">
        <v>28.0</v>
      </c>
      <c r="K2" s="17"/>
      <c r="L2" s="17"/>
      <c r="M2" s="17"/>
      <c r="N2" s="17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14" t="s">
        <v>15</v>
      </c>
      <c r="B3" s="15">
        <v>4.0</v>
      </c>
      <c r="C3" s="15">
        <v>6.0</v>
      </c>
      <c r="D3" s="15">
        <v>12.0</v>
      </c>
      <c r="E3" s="15">
        <v>7.0</v>
      </c>
      <c r="F3" s="15">
        <v>5.0</v>
      </c>
      <c r="G3" s="15">
        <v>4.0</v>
      </c>
      <c r="H3" s="15">
        <v>0.0</v>
      </c>
      <c r="I3" s="15">
        <v>6.0</v>
      </c>
      <c r="J3" s="15">
        <v>21.0</v>
      </c>
      <c r="K3" s="17"/>
      <c r="L3" s="17"/>
      <c r="M3" s="17"/>
      <c r="N3" s="17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14" t="s">
        <v>16</v>
      </c>
      <c r="B4" s="15">
        <v>0.0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7"/>
      <c r="L4" s="17"/>
      <c r="M4" s="17"/>
      <c r="N4" s="17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14" t="s">
        <v>17</v>
      </c>
      <c r="B5" s="15">
        <v>0.0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0.0</v>
      </c>
      <c r="K5" s="17"/>
      <c r="L5" s="17"/>
      <c r="M5" s="17"/>
      <c r="N5" s="17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17" t="s">
        <v>18</v>
      </c>
      <c r="B6" s="17">
        <f t="shared" ref="B6:M6" si="1">SUM(B2:B5)</f>
        <v>16</v>
      </c>
      <c r="C6" s="17">
        <f t="shared" si="1"/>
        <v>39</v>
      </c>
      <c r="D6" s="17">
        <f t="shared" si="1"/>
        <v>26</v>
      </c>
      <c r="E6" s="17">
        <f t="shared" si="1"/>
        <v>19</v>
      </c>
      <c r="F6" s="17">
        <f t="shared" si="1"/>
        <v>21</v>
      </c>
      <c r="G6" s="17">
        <f t="shared" si="1"/>
        <v>18</v>
      </c>
      <c r="H6" s="17">
        <f t="shared" si="1"/>
        <v>13</v>
      </c>
      <c r="I6" s="17">
        <f t="shared" si="1"/>
        <v>15</v>
      </c>
      <c r="J6" s="17">
        <f t="shared" si="1"/>
        <v>49</v>
      </c>
      <c r="K6" s="17">
        <f t="shared" si="1"/>
        <v>0</v>
      </c>
      <c r="L6" s="17">
        <f t="shared" si="1"/>
        <v>0</v>
      </c>
      <c r="M6" s="17">
        <f t="shared" si="1"/>
        <v>0</v>
      </c>
      <c r="N6" s="17">
        <f>SUM(B6:M6)</f>
        <v>216</v>
      </c>
      <c r="O6" s="19" t="str">
        <f>N6+#REF!</f>
        <v>#REF!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13" width="9.25"/>
    <col customWidth="1" min="14" max="14" width="10.25"/>
    <col customWidth="1" min="15" max="29" width="14.25"/>
  </cols>
  <sheetData>
    <row r="1">
      <c r="A1" s="20" t="s">
        <v>12</v>
      </c>
      <c r="B1" s="21">
        <v>45688.0</v>
      </c>
      <c r="C1" s="21">
        <v>45716.0</v>
      </c>
      <c r="D1" s="21">
        <v>45747.0</v>
      </c>
      <c r="E1" s="21">
        <v>45777.0</v>
      </c>
      <c r="F1" s="21">
        <v>45808.0</v>
      </c>
      <c r="G1" s="21">
        <v>45838.0</v>
      </c>
      <c r="H1" s="21">
        <v>45869.0</v>
      </c>
      <c r="I1" s="21">
        <v>45900.0</v>
      </c>
      <c r="J1" s="21">
        <v>45930.0</v>
      </c>
      <c r="K1" s="21">
        <v>45961.0</v>
      </c>
      <c r="L1" s="21">
        <v>45991.0</v>
      </c>
      <c r="M1" s="21">
        <v>46022.0</v>
      </c>
      <c r="N1" s="20" t="s">
        <v>13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14" t="s">
        <v>14</v>
      </c>
      <c r="B2" s="15">
        <v>356.0</v>
      </c>
      <c r="C2" s="15">
        <v>538.0</v>
      </c>
      <c r="D2" s="15">
        <v>478.0</v>
      </c>
      <c r="E2" s="15">
        <v>585.0</v>
      </c>
      <c r="F2" s="15">
        <v>862.0</v>
      </c>
      <c r="G2" s="15">
        <v>804.0</v>
      </c>
      <c r="H2" s="15">
        <v>5.0</v>
      </c>
      <c r="I2" s="15">
        <v>179.0</v>
      </c>
      <c r="J2" s="15">
        <v>374.0</v>
      </c>
      <c r="K2" s="17"/>
      <c r="L2" s="17"/>
      <c r="M2" s="17"/>
      <c r="N2" s="17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14" t="s">
        <v>15</v>
      </c>
      <c r="B3" s="15">
        <v>90.0</v>
      </c>
      <c r="C3" s="15">
        <v>81.0</v>
      </c>
      <c r="D3" s="15">
        <v>66.0</v>
      </c>
      <c r="E3" s="15">
        <v>79.0</v>
      </c>
      <c r="F3" s="15">
        <v>62.0</v>
      </c>
      <c r="G3" s="15">
        <v>129.0</v>
      </c>
      <c r="H3" s="15">
        <v>0.0</v>
      </c>
      <c r="I3" s="15">
        <v>31.0</v>
      </c>
      <c r="J3" s="15">
        <v>73.0</v>
      </c>
      <c r="K3" s="17"/>
      <c r="L3" s="17"/>
      <c r="M3" s="17"/>
      <c r="N3" s="17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14" t="s">
        <v>16</v>
      </c>
      <c r="B4" s="15">
        <v>58.0</v>
      </c>
      <c r="C4" s="15">
        <v>155.0</v>
      </c>
      <c r="D4" s="15">
        <v>138.0</v>
      </c>
      <c r="E4" s="15">
        <v>207.0</v>
      </c>
      <c r="F4" s="15">
        <v>99.0</v>
      </c>
      <c r="G4" s="15">
        <v>249.0</v>
      </c>
      <c r="H4" s="15">
        <v>0.0</v>
      </c>
      <c r="I4" s="15">
        <v>54.0</v>
      </c>
      <c r="J4" s="15">
        <v>128.0</v>
      </c>
      <c r="K4" s="17"/>
      <c r="L4" s="17"/>
      <c r="M4" s="17"/>
      <c r="N4" s="17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14" t="s">
        <v>17</v>
      </c>
      <c r="B5" s="15">
        <v>42.0</v>
      </c>
      <c r="C5" s="15">
        <v>48.0</v>
      </c>
      <c r="D5" s="15">
        <v>28.0</v>
      </c>
      <c r="E5" s="15">
        <v>27.0</v>
      </c>
      <c r="F5" s="15">
        <v>27.0</v>
      </c>
      <c r="G5" s="15">
        <v>28.0</v>
      </c>
      <c r="H5" s="15">
        <v>0.0</v>
      </c>
      <c r="I5" s="15">
        <v>7.0</v>
      </c>
      <c r="J5" s="15">
        <v>38.0</v>
      </c>
      <c r="K5" s="17"/>
      <c r="L5" s="17"/>
      <c r="M5" s="17"/>
      <c r="N5" s="17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17" t="s">
        <v>18</v>
      </c>
      <c r="B6" s="17">
        <f t="shared" ref="B6:M6" si="1">SUM(B2:B5)</f>
        <v>546</v>
      </c>
      <c r="C6" s="17">
        <f t="shared" si="1"/>
        <v>822</v>
      </c>
      <c r="D6" s="17">
        <f t="shared" si="1"/>
        <v>710</v>
      </c>
      <c r="E6" s="17">
        <f t="shared" si="1"/>
        <v>898</v>
      </c>
      <c r="F6" s="17">
        <f t="shared" si="1"/>
        <v>1050</v>
      </c>
      <c r="G6" s="17">
        <f t="shared" si="1"/>
        <v>1210</v>
      </c>
      <c r="H6" s="17">
        <f t="shared" si="1"/>
        <v>5</v>
      </c>
      <c r="I6" s="17">
        <f t="shared" si="1"/>
        <v>271</v>
      </c>
      <c r="J6" s="17">
        <f t="shared" si="1"/>
        <v>613</v>
      </c>
      <c r="K6" s="17">
        <f t="shared" si="1"/>
        <v>0</v>
      </c>
      <c r="L6" s="17">
        <f t="shared" si="1"/>
        <v>0</v>
      </c>
      <c r="M6" s="17">
        <f t="shared" si="1"/>
        <v>0</v>
      </c>
      <c r="N6" s="17">
        <f>SUM(B6:M6)</f>
        <v>6125</v>
      </c>
      <c r="O6" s="19" t="str">
        <f>N6+#REF!</f>
        <v>#REF!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3" width="12.0"/>
    <col customWidth="1" min="4" max="4" width="13.88"/>
    <col customWidth="1" min="5" max="5" width="12.0"/>
  </cols>
  <sheetData>
    <row r="1" ht="30.0" customHeight="1">
      <c r="A1" s="23" t="s">
        <v>19</v>
      </c>
      <c r="B1" s="23" t="s">
        <v>9</v>
      </c>
      <c r="C1" s="23" t="s">
        <v>20</v>
      </c>
      <c r="D1" s="23" t="s">
        <v>10</v>
      </c>
      <c r="E1" s="23" t="s">
        <v>21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22</v>
      </c>
      <c r="B2" s="26">
        <v>204.0</v>
      </c>
      <c r="C2" s="26">
        <v>3394.0</v>
      </c>
      <c r="D2" s="26">
        <v>4185.0</v>
      </c>
      <c r="E2" s="26">
        <v>155815.0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23</v>
      </c>
      <c r="B3" s="26">
        <v>10.0</v>
      </c>
      <c r="C3" s="26">
        <v>285.0</v>
      </c>
      <c r="D3" s="26">
        <v>282.0</v>
      </c>
      <c r="E3" s="26">
        <v>9412.0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24</v>
      </c>
      <c r="B4" s="26">
        <v>0.0</v>
      </c>
      <c r="C4" s="26">
        <v>0.0</v>
      </c>
      <c r="D4" s="26">
        <v>12.0</v>
      </c>
      <c r="E4" s="26">
        <v>387.0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25</v>
      </c>
      <c r="B5" s="26">
        <v>106.0</v>
      </c>
      <c r="C5" s="26">
        <v>2299.0</v>
      </c>
      <c r="D5" s="26">
        <v>667.0</v>
      </c>
      <c r="E5" s="26">
        <v>23519.0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7" t="s">
        <v>18</v>
      </c>
      <c r="B6" s="28">
        <f t="shared" ref="B6:E6" si="1">SUM(B2:B5)</f>
        <v>320</v>
      </c>
      <c r="C6" s="28">
        <f t="shared" si="1"/>
        <v>5978</v>
      </c>
      <c r="D6" s="28">
        <f t="shared" si="1"/>
        <v>5146</v>
      </c>
      <c r="E6" s="28">
        <f t="shared" si="1"/>
        <v>189133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5.38"/>
    <col customWidth="1" min="3" max="3" width="19.63"/>
    <col customWidth="1" min="4" max="4" width="19.5"/>
    <col customWidth="1" min="5" max="5" width="11.25"/>
  </cols>
  <sheetData>
    <row r="1">
      <c r="A1" s="11" t="s">
        <v>19</v>
      </c>
      <c r="B1" s="11" t="s">
        <v>26</v>
      </c>
      <c r="C1" s="11" t="s">
        <v>27</v>
      </c>
      <c r="D1" s="11" t="s">
        <v>28</v>
      </c>
      <c r="E1" s="11" t="s">
        <v>29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9" t="s">
        <v>22</v>
      </c>
      <c r="B2" s="30">
        <v>7309.0</v>
      </c>
      <c r="C2" s="30">
        <v>1167.0</v>
      </c>
      <c r="D2" s="30">
        <v>3632.0</v>
      </c>
      <c r="E2" s="31">
        <f t="shared" ref="E2:E6" si="1">D2/B2</f>
        <v>0.4969216035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9" t="s">
        <v>23</v>
      </c>
      <c r="B3" s="30">
        <v>889.0</v>
      </c>
      <c r="C3" s="32">
        <v>294.0</v>
      </c>
      <c r="D3" s="32">
        <v>39.0</v>
      </c>
      <c r="E3" s="31">
        <f t="shared" si="1"/>
        <v>0.04386951631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9" t="s">
        <v>24</v>
      </c>
      <c r="B4" s="32">
        <v>42.0</v>
      </c>
      <c r="C4" s="32">
        <v>0.0</v>
      </c>
      <c r="D4" s="32">
        <v>5.0</v>
      </c>
      <c r="E4" s="31">
        <f t="shared" si="1"/>
        <v>0.119047619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9" t="s">
        <v>25</v>
      </c>
      <c r="B5" s="30">
        <v>6707.0</v>
      </c>
      <c r="C5" s="30">
        <v>4264.0</v>
      </c>
      <c r="D5" s="30">
        <v>1560.0</v>
      </c>
      <c r="E5" s="31">
        <f t="shared" si="1"/>
        <v>0.2325928135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18</v>
      </c>
      <c r="B6" s="30">
        <f t="shared" ref="B6:D6" si="2">SUM(B2:B5)</f>
        <v>14947</v>
      </c>
      <c r="C6" s="30">
        <f t="shared" si="2"/>
        <v>5725</v>
      </c>
      <c r="D6" s="30">
        <f t="shared" si="2"/>
        <v>5236</v>
      </c>
      <c r="E6" s="31">
        <f t="shared" si="1"/>
        <v>0.3503044089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13"/>
  </cols>
  <sheetData>
    <row r="1">
      <c r="A1" s="33" t="s">
        <v>30</v>
      </c>
      <c r="B1" s="33" t="s">
        <v>1</v>
      </c>
      <c r="C1" s="33" t="s">
        <v>31</v>
      </c>
      <c r="D1" s="33" t="s">
        <v>32</v>
      </c>
      <c r="E1" s="33" t="s">
        <v>33</v>
      </c>
      <c r="F1" s="33" t="s">
        <v>34</v>
      </c>
      <c r="G1" s="33" t="s">
        <v>35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>
        <v>45688.0</v>
      </c>
      <c r="B2" s="36">
        <v>320.0</v>
      </c>
      <c r="C2" s="36">
        <v>4908.0</v>
      </c>
      <c r="D2" s="36">
        <v>4908.0</v>
      </c>
      <c r="E2" s="36">
        <v>0.0</v>
      </c>
      <c r="F2" s="36">
        <v>4908.0</v>
      </c>
      <c r="G2" s="37">
        <f t="shared" ref="G2:G10" si="1">F2/C2</f>
        <v>1</v>
      </c>
      <c r="H2" s="38"/>
      <c r="I2" s="39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5">
        <v>45716.0</v>
      </c>
      <c r="B3" s="36">
        <v>489.0</v>
      </c>
      <c r="C3" s="36">
        <v>5360.0</v>
      </c>
      <c r="D3" s="36">
        <v>5360.0</v>
      </c>
      <c r="E3" s="36">
        <v>0.0</v>
      </c>
      <c r="F3" s="36">
        <v>5360.0</v>
      </c>
      <c r="G3" s="37">
        <f t="shared" si="1"/>
        <v>1</v>
      </c>
      <c r="H3" s="38"/>
      <c r="I3" s="39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>
        <v>45747.0</v>
      </c>
      <c r="B4" s="36">
        <v>528.0</v>
      </c>
      <c r="C4" s="36">
        <v>12174.0</v>
      </c>
      <c r="D4" s="36">
        <v>12174.0</v>
      </c>
      <c r="E4" s="36">
        <v>0.0</v>
      </c>
      <c r="F4" s="36">
        <v>12174.0</v>
      </c>
      <c r="G4" s="37">
        <f t="shared" si="1"/>
        <v>1</v>
      </c>
      <c r="H4" s="38"/>
      <c r="I4" s="39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>
        <v>45777.0</v>
      </c>
      <c r="B5" s="36">
        <v>315.0</v>
      </c>
      <c r="C5" s="36">
        <v>5113.0</v>
      </c>
      <c r="D5" s="36">
        <v>5113.0</v>
      </c>
      <c r="E5" s="36">
        <v>0.0</v>
      </c>
      <c r="F5" s="36">
        <v>5113.0</v>
      </c>
      <c r="G5" s="37">
        <f t="shared" si="1"/>
        <v>1</v>
      </c>
      <c r="H5" s="38"/>
      <c r="I5" s="39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>
        <v>45808.0</v>
      </c>
      <c r="B6" s="36">
        <v>277.0</v>
      </c>
      <c r="C6" s="36">
        <v>5142.0</v>
      </c>
      <c r="D6" s="36">
        <v>5142.0</v>
      </c>
      <c r="E6" s="36">
        <v>0.0</v>
      </c>
      <c r="F6" s="36">
        <v>5142.0</v>
      </c>
      <c r="G6" s="37">
        <f t="shared" si="1"/>
        <v>1</v>
      </c>
      <c r="H6" s="38"/>
      <c r="I6" s="39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5">
        <v>45838.0</v>
      </c>
      <c r="B7" s="36">
        <v>369.0</v>
      </c>
      <c r="C7" s="36">
        <v>5687.0</v>
      </c>
      <c r="D7" s="36">
        <v>5687.0</v>
      </c>
      <c r="E7" s="36">
        <v>0.0</v>
      </c>
      <c r="F7" s="36">
        <v>5687.0</v>
      </c>
      <c r="G7" s="37">
        <f t="shared" si="1"/>
        <v>1</v>
      </c>
      <c r="H7" s="38"/>
      <c r="I7" s="39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5">
        <v>45869.0</v>
      </c>
      <c r="B8" s="36">
        <v>444.0</v>
      </c>
      <c r="C8" s="36">
        <v>5509.0</v>
      </c>
      <c r="D8" s="36">
        <v>5398.0</v>
      </c>
      <c r="E8" s="36">
        <v>111.0</v>
      </c>
      <c r="F8" s="36">
        <v>5398.0</v>
      </c>
      <c r="G8" s="37">
        <f t="shared" si="1"/>
        <v>0.9798511527</v>
      </c>
      <c r="H8" s="38"/>
      <c r="I8" s="39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5">
        <v>45900.0</v>
      </c>
      <c r="B9" s="36">
        <v>157.0</v>
      </c>
      <c r="C9" s="36">
        <v>2017.0</v>
      </c>
      <c r="D9" s="36">
        <v>1986.0</v>
      </c>
      <c r="E9" s="36">
        <v>31.0</v>
      </c>
      <c r="F9" s="36">
        <v>1986.0</v>
      </c>
      <c r="G9" s="37">
        <f t="shared" si="1"/>
        <v>0.9846306396</v>
      </c>
      <c r="H9" s="38"/>
      <c r="I9" s="39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5">
        <v>45930.0</v>
      </c>
      <c r="B10" s="36">
        <v>455.0</v>
      </c>
      <c r="C10" s="36">
        <v>5881.0</v>
      </c>
      <c r="D10" s="36">
        <v>5720.0</v>
      </c>
      <c r="E10" s="36">
        <v>161.0</v>
      </c>
      <c r="F10" s="36">
        <v>5720.0</v>
      </c>
      <c r="G10" s="37">
        <f t="shared" si="1"/>
        <v>0.9726237035</v>
      </c>
      <c r="H10" s="38"/>
      <c r="I10" s="39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5">
        <v>45961.0</v>
      </c>
      <c r="B11" s="40"/>
      <c r="C11" s="40"/>
      <c r="D11" s="40"/>
      <c r="E11" s="40"/>
      <c r="F11" s="40"/>
      <c r="G11" s="41"/>
      <c r="H11" s="38"/>
      <c r="I11" s="39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5">
        <v>45991.0</v>
      </c>
      <c r="B12" s="40"/>
      <c r="C12" s="40"/>
      <c r="D12" s="40"/>
      <c r="E12" s="40"/>
      <c r="F12" s="40"/>
      <c r="G12" s="41"/>
      <c r="H12" s="38"/>
      <c r="I12" s="39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5">
        <v>46022.0</v>
      </c>
      <c r="B13" s="40"/>
      <c r="C13" s="40"/>
      <c r="D13" s="40"/>
      <c r="E13" s="40"/>
      <c r="F13" s="40"/>
      <c r="G13" s="41"/>
      <c r="H13" s="38"/>
      <c r="I13" s="39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2" t="s">
        <v>18</v>
      </c>
      <c r="B14" s="40">
        <f t="shared" ref="B14:F14" si="2">SUM(B2:B13)</f>
        <v>3354</v>
      </c>
      <c r="C14" s="40">
        <f t="shared" si="2"/>
        <v>51791</v>
      </c>
      <c r="D14" s="40">
        <f t="shared" si="2"/>
        <v>51488</v>
      </c>
      <c r="E14" s="40">
        <f t="shared" si="2"/>
        <v>303</v>
      </c>
      <c r="F14" s="40">
        <f t="shared" si="2"/>
        <v>51488</v>
      </c>
      <c r="G14" s="43">
        <f>F14/C14</f>
        <v>0.9941495627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38"/>
    <col customWidth="1" min="3" max="5" width="13.38"/>
    <col customWidth="1" min="6" max="6" width="9.63"/>
    <col customWidth="1" min="7" max="26" width="14.38"/>
  </cols>
  <sheetData>
    <row r="1">
      <c r="A1" s="44" t="s">
        <v>30</v>
      </c>
      <c r="B1" s="44" t="s">
        <v>1</v>
      </c>
      <c r="C1" s="44" t="s">
        <v>31</v>
      </c>
      <c r="D1" s="44" t="s">
        <v>32</v>
      </c>
      <c r="E1" s="44" t="s">
        <v>34</v>
      </c>
      <c r="F1" s="44" t="s">
        <v>35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21">
        <v>45688.0</v>
      </c>
      <c r="B2" s="32">
        <v>134.0</v>
      </c>
      <c r="C2" s="30">
        <v>1287.0</v>
      </c>
      <c r="D2" s="30">
        <v>1287.0</v>
      </c>
      <c r="E2" s="30">
        <v>1287.0</v>
      </c>
      <c r="F2" s="46">
        <f t="shared" ref="F2:F8" si="1">E2/D2</f>
        <v>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21">
        <v>45716.0</v>
      </c>
      <c r="B3" s="32">
        <v>250.0</v>
      </c>
      <c r="C3" s="30">
        <v>3206.0</v>
      </c>
      <c r="D3" s="30">
        <v>3206.0</v>
      </c>
      <c r="E3" s="30">
        <v>3206.0</v>
      </c>
      <c r="F3" s="46">
        <f t="shared" si="1"/>
        <v>1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21">
        <v>45747.0</v>
      </c>
      <c r="B4" s="32">
        <v>148.0</v>
      </c>
      <c r="C4" s="30">
        <v>2555.0</v>
      </c>
      <c r="D4" s="30">
        <v>2555.0</v>
      </c>
      <c r="E4" s="30">
        <v>2555.0</v>
      </c>
      <c r="F4" s="46">
        <f t="shared" si="1"/>
        <v>1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21">
        <v>45777.0</v>
      </c>
      <c r="B5" s="32">
        <v>315.0</v>
      </c>
      <c r="C5" s="30">
        <v>2938.0</v>
      </c>
      <c r="D5" s="30">
        <v>2938.0</v>
      </c>
      <c r="E5" s="30">
        <v>2938.0</v>
      </c>
      <c r="F5" s="46">
        <f t="shared" si="1"/>
        <v>1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21">
        <v>45808.0</v>
      </c>
      <c r="B6" s="32">
        <v>236.0</v>
      </c>
      <c r="C6" s="30">
        <v>2785.0</v>
      </c>
      <c r="D6" s="30">
        <v>2785.0</v>
      </c>
      <c r="E6" s="30">
        <v>2785.0</v>
      </c>
      <c r="F6" s="46">
        <f t="shared" si="1"/>
        <v>1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1">
        <v>45838.0</v>
      </c>
      <c r="B7" s="32">
        <v>58.0</v>
      </c>
      <c r="C7" s="30">
        <v>492.0</v>
      </c>
      <c r="D7" s="30">
        <v>492.0</v>
      </c>
      <c r="E7" s="30">
        <v>492.0</v>
      </c>
      <c r="F7" s="46">
        <f t="shared" si="1"/>
        <v>1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1">
        <v>45869.0</v>
      </c>
      <c r="B8" s="32">
        <v>3.0</v>
      </c>
      <c r="C8" s="30">
        <v>82.0</v>
      </c>
      <c r="D8" s="30">
        <v>82.0</v>
      </c>
      <c r="E8" s="30">
        <v>82.0</v>
      </c>
      <c r="F8" s="46">
        <f t="shared" si="1"/>
        <v>1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1">
        <v>45900.0</v>
      </c>
      <c r="B9" s="32"/>
      <c r="C9" s="30"/>
      <c r="D9" s="30"/>
      <c r="E9" s="30"/>
      <c r="F9" s="46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1">
        <v>45930.0</v>
      </c>
      <c r="B10" s="32"/>
      <c r="C10" s="30"/>
      <c r="D10" s="32"/>
      <c r="E10" s="32"/>
      <c r="F10" s="46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21">
        <v>45961.0</v>
      </c>
      <c r="B11" s="47"/>
      <c r="C11" s="47"/>
      <c r="D11" s="47"/>
      <c r="E11" s="47"/>
      <c r="F11" s="46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21">
        <v>45991.0</v>
      </c>
      <c r="B12" s="47"/>
      <c r="C12" s="47"/>
      <c r="D12" s="47"/>
      <c r="E12" s="47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1">
        <v>46022.0</v>
      </c>
      <c r="B13" s="47"/>
      <c r="C13" s="47"/>
      <c r="D13" s="47"/>
      <c r="E13" s="47"/>
      <c r="F13" s="46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4" t="s">
        <v>18</v>
      </c>
      <c r="B14" s="47">
        <f t="shared" ref="B14:E14" si="2">SUM(B2:B13)</f>
        <v>1144</v>
      </c>
      <c r="C14" s="47">
        <f t="shared" si="2"/>
        <v>13345</v>
      </c>
      <c r="D14" s="47">
        <f t="shared" si="2"/>
        <v>13345</v>
      </c>
      <c r="E14" s="47">
        <f t="shared" si="2"/>
        <v>13345</v>
      </c>
      <c r="F14" s="46">
        <f>E14/D14</f>
        <v>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8" t="s">
        <v>36</v>
      </c>
      <c r="D1" s="48" t="s">
        <v>37</v>
      </c>
      <c r="E1" s="48" t="s">
        <v>38</v>
      </c>
      <c r="F1" s="48" t="s">
        <v>39</v>
      </c>
      <c r="G1" s="48" t="s">
        <v>40</v>
      </c>
      <c r="H1" s="48" t="s">
        <v>41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9" t="s">
        <v>42</v>
      </c>
      <c r="D2" s="48" t="s">
        <v>43</v>
      </c>
      <c r="E2" s="50">
        <v>1403.0</v>
      </c>
      <c r="F2" s="51">
        <v>770.0</v>
      </c>
      <c r="G2" s="51">
        <v>672.0</v>
      </c>
      <c r="H2" s="51">
        <v>174.0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9" t="s">
        <v>44</v>
      </c>
      <c r="D3" s="48" t="s">
        <v>45</v>
      </c>
      <c r="E3" s="51">
        <v>73.0</v>
      </c>
      <c r="F3" s="51">
        <v>16.0</v>
      </c>
      <c r="G3" s="51">
        <v>11.0</v>
      </c>
      <c r="H3" s="51">
        <v>2.0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9" t="s">
        <v>46</v>
      </c>
      <c r="D4" s="48" t="s">
        <v>47</v>
      </c>
      <c r="E4" s="51">
        <v>2.0</v>
      </c>
      <c r="F4" s="51">
        <v>0.0</v>
      </c>
      <c r="G4" s="51">
        <v>0.0</v>
      </c>
      <c r="H4" s="51">
        <v>0.0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9" t="s">
        <v>48</v>
      </c>
      <c r="D5" s="48" t="s">
        <v>49</v>
      </c>
      <c r="E5" s="51">
        <v>2.0</v>
      </c>
      <c r="F5" s="51">
        <v>0.0</v>
      </c>
      <c r="G5" s="51">
        <v>0.0</v>
      </c>
      <c r="H5" s="51">
        <v>0.0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9" t="s">
        <v>50</v>
      </c>
      <c r="D6" s="48" t="s">
        <v>51</v>
      </c>
      <c r="E6" s="51">
        <v>10.0</v>
      </c>
      <c r="F6" s="51">
        <v>0.0</v>
      </c>
      <c r="G6" s="51">
        <v>0.0</v>
      </c>
      <c r="H6" s="51">
        <v>0.0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9" t="s">
        <v>52</v>
      </c>
      <c r="D7" s="48" t="s">
        <v>53</v>
      </c>
      <c r="E7" s="51">
        <v>40.0</v>
      </c>
      <c r="F7" s="51">
        <v>40.0</v>
      </c>
      <c r="G7" s="51">
        <v>37.0</v>
      </c>
      <c r="H7" s="51">
        <v>8.0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9" t="s">
        <v>54</v>
      </c>
      <c r="D8" s="48" t="s">
        <v>55</v>
      </c>
      <c r="E8" s="51">
        <v>36.0</v>
      </c>
      <c r="F8" s="51">
        <v>16.0</v>
      </c>
      <c r="G8" s="51">
        <v>10.0</v>
      </c>
      <c r="H8" s="51">
        <v>2.0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9" t="s">
        <v>56</v>
      </c>
      <c r="D9" s="48" t="s">
        <v>57</v>
      </c>
      <c r="E9" s="51">
        <v>51.0</v>
      </c>
      <c r="F9" s="51">
        <v>51.0</v>
      </c>
      <c r="G9" s="51">
        <v>48.0</v>
      </c>
      <c r="H9" s="51">
        <v>20.0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9" t="s">
        <v>58</v>
      </c>
      <c r="D10" s="48" t="s">
        <v>59</v>
      </c>
      <c r="E10" s="51">
        <v>3.0</v>
      </c>
      <c r="F10" s="51">
        <v>2.0</v>
      </c>
      <c r="G10" s="51">
        <v>2.0</v>
      </c>
      <c r="H10" s="51">
        <v>1.0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9" t="s">
        <v>60</v>
      </c>
      <c r="D11" s="48" t="s">
        <v>61</v>
      </c>
      <c r="E11" s="51">
        <v>22.0</v>
      </c>
      <c r="F11" s="51">
        <v>0.0</v>
      </c>
      <c r="G11" s="51">
        <v>0.0</v>
      </c>
      <c r="H11" s="51">
        <v>0.0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9" t="s">
        <v>62</v>
      </c>
      <c r="D12" s="48" t="s">
        <v>63</v>
      </c>
      <c r="E12" s="51">
        <v>0.0</v>
      </c>
      <c r="F12" s="51">
        <v>1.0</v>
      </c>
      <c r="G12" s="51">
        <v>1.0</v>
      </c>
      <c r="H12" s="51">
        <v>1.0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52"/>
      <c r="B13" s="52"/>
      <c r="C13" s="52"/>
      <c r="D13" s="48" t="s">
        <v>64</v>
      </c>
      <c r="E13" s="53">
        <f t="shared" ref="E13:H13" si="1">SUM(E2:E12)</f>
        <v>1642</v>
      </c>
      <c r="F13" s="48">
        <f t="shared" si="1"/>
        <v>896</v>
      </c>
      <c r="G13" s="48">
        <f t="shared" si="1"/>
        <v>781</v>
      </c>
      <c r="H13" s="48">
        <f t="shared" si="1"/>
        <v>208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2"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  <mergeCell ref="A7:C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14" width="6.38"/>
  </cols>
  <sheetData>
    <row r="1">
      <c r="A1" s="54" t="s">
        <v>65</v>
      </c>
      <c r="B1" s="55">
        <v>45688.0</v>
      </c>
      <c r="C1" s="55">
        <v>45716.0</v>
      </c>
      <c r="D1" s="55">
        <v>45747.0</v>
      </c>
      <c r="E1" s="55">
        <v>45777.0</v>
      </c>
      <c r="F1" s="55">
        <v>45808.0</v>
      </c>
      <c r="G1" s="55">
        <v>45838.0</v>
      </c>
      <c r="H1" s="55">
        <v>45869.0</v>
      </c>
      <c r="I1" s="55">
        <v>45900.0</v>
      </c>
      <c r="J1" s="55">
        <v>45930.0</v>
      </c>
      <c r="K1" s="55">
        <v>45961.0</v>
      </c>
      <c r="L1" s="55">
        <v>45991.0</v>
      </c>
      <c r="M1" s="55">
        <v>46022.0</v>
      </c>
      <c r="N1" s="56" t="s">
        <v>66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57" t="s">
        <v>14</v>
      </c>
      <c r="B2" s="30">
        <v>3221.0</v>
      </c>
      <c r="C2" s="30">
        <v>2753.0</v>
      </c>
      <c r="D2" s="30">
        <v>2598.0</v>
      </c>
      <c r="E2" s="30">
        <v>2766.0</v>
      </c>
      <c r="F2" s="30">
        <v>2931.0</v>
      </c>
      <c r="G2" s="30">
        <v>2845.0</v>
      </c>
      <c r="H2" s="30">
        <v>2738.0</v>
      </c>
      <c r="I2" s="30">
        <v>3171.0</v>
      </c>
      <c r="J2" s="30">
        <v>2851.0</v>
      </c>
      <c r="K2" s="58"/>
      <c r="L2" s="58"/>
      <c r="M2" s="58"/>
      <c r="N2" s="58">
        <f>SUM(B2:M2)</f>
        <v>25874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54" t="s">
        <v>67</v>
      </c>
      <c r="B3" s="58">
        <f t="shared" ref="B3:N3" si="1">SUM(B2)</f>
        <v>3221</v>
      </c>
      <c r="C3" s="58">
        <f t="shared" si="1"/>
        <v>2753</v>
      </c>
      <c r="D3" s="58">
        <f t="shared" si="1"/>
        <v>2598</v>
      </c>
      <c r="E3" s="58">
        <f t="shared" si="1"/>
        <v>2766</v>
      </c>
      <c r="F3" s="58">
        <f t="shared" si="1"/>
        <v>2931</v>
      </c>
      <c r="G3" s="58">
        <f t="shared" si="1"/>
        <v>2845</v>
      </c>
      <c r="H3" s="58">
        <f t="shared" si="1"/>
        <v>2738</v>
      </c>
      <c r="I3" s="58">
        <f t="shared" si="1"/>
        <v>3171</v>
      </c>
      <c r="J3" s="58">
        <f t="shared" si="1"/>
        <v>2851</v>
      </c>
      <c r="K3" s="58">
        <f t="shared" si="1"/>
        <v>0</v>
      </c>
      <c r="L3" s="58">
        <f t="shared" si="1"/>
        <v>0</v>
      </c>
      <c r="M3" s="58">
        <f t="shared" si="1"/>
        <v>0</v>
      </c>
      <c r="N3" s="58">
        <f t="shared" si="1"/>
        <v>25874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3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3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4" width="16.63"/>
  </cols>
  <sheetData>
    <row r="1">
      <c r="A1" s="44" t="s">
        <v>68</v>
      </c>
      <c r="B1" s="44" t="s">
        <v>69</v>
      </c>
      <c r="C1" s="44" t="s">
        <v>70</v>
      </c>
      <c r="D1" s="44" t="s">
        <v>71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5">
        <v>45688.0</v>
      </c>
      <c r="B2" s="16">
        <v>3221.0</v>
      </c>
      <c r="C2" s="16">
        <v>3221.0</v>
      </c>
      <c r="D2" s="16">
        <v>3579.0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5">
        <v>45716.0</v>
      </c>
      <c r="B3" s="16">
        <v>2753.0</v>
      </c>
      <c r="C3" s="16">
        <v>2753.0</v>
      </c>
      <c r="D3" s="16">
        <v>3122.0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>
        <v>45747.0</v>
      </c>
      <c r="B4" s="16">
        <v>2598.0</v>
      </c>
      <c r="C4" s="16">
        <v>2598.0</v>
      </c>
      <c r="D4" s="16">
        <v>3197.0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>
        <v>45777.0</v>
      </c>
      <c r="B5" s="16">
        <v>2766.0</v>
      </c>
      <c r="C5" s="16">
        <v>2766.0</v>
      </c>
      <c r="D5" s="16">
        <v>3218.0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>
        <v>45808.0</v>
      </c>
      <c r="B6" s="16">
        <v>2931.0</v>
      </c>
      <c r="C6" s="16">
        <v>2931.0</v>
      </c>
      <c r="D6" s="16">
        <v>3317.0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5">
        <v>45838.0</v>
      </c>
      <c r="B7" s="16">
        <v>2845.0</v>
      </c>
      <c r="C7" s="16">
        <v>2845.0</v>
      </c>
      <c r="D7" s="16">
        <v>3143.0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5">
        <v>45869.0</v>
      </c>
      <c r="B8" s="16">
        <v>2738.0</v>
      </c>
      <c r="C8" s="16">
        <v>2738.0</v>
      </c>
      <c r="D8" s="16">
        <v>3221.0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5">
        <v>45900.0</v>
      </c>
      <c r="B9" s="16">
        <v>3171.0</v>
      </c>
      <c r="C9" s="16">
        <v>3171.0</v>
      </c>
      <c r="D9" s="16">
        <v>3664.0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5">
        <v>45930.0</v>
      </c>
      <c r="B10" s="16">
        <v>2851.0</v>
      </c>
      <c r="C10" s="16">
        <v>2851.0</v>
      </c>
      <c r="D10" s="16">
        <v>2860.0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5">
        <v>45961.0</v>
      </c>
      <c r="B11" s="60"/>
      <c r="C11" s="60"/>
      <c r="D11" s="60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5">
        <v>45991.0</v>
      </c>
      <c r="B12" s="60"/>
      <c r="C12" s="60"/>
      <c r="D12" s="60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5">
        <v>46022.0</v>
      </c>
      <c r="B13" s="60"/>
      <c r="C13" s="60"/>
      <c r="D13" s="60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4" t="s">
        <v>11</v>
      </c>
      <c r="B14" s="60">
        <f t="shared" ref="B14:D14" si="1">SUM(B2:B13)</f>
        <v>25874</v>
      </c>
      <c r="C14" s="60">
        <f t="shared" si="1"/>
        <v>25874</v>
      </c>
      <c r="D14" s="60">
        <f t="shared" si="1"/>
        <v>29321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5.75"/>
  </cols>
  <sheetData>
    <row r="1">
      <c r="A1" s="61" t="s">
        <v>72</v>
      </c>
      <c r="B1" s="61" t="s">
        <v>22</v>
      </c>
    </row>
    <row r="2">
      <c r="A2" s="62" t="s">
        <v>73</v>
      </c>
      <c r="B2" s="63">
        <v>9554.0</v>
      </c>
    </row>
    <row r="3">
      <c r="A3" s="62" t="s">
        <v>74</v>
      </c>
      <c r="B3" s="64">
        <v>411.0</v>
      </c>
    </row>
    <row r="4">
      <c r="A4" s="62" t="s">
        <v>75</v>
      </c>
      <c r="B4" s="64">
        <v>425.0</v>
      </c>
    </row>
    <row r="5">
      <c r="A5" s="65" t="s">
        <v>11</v>
      </c>
      <c r="B5" s="66">
        <v>10390.0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39.38"/>
  </cols>
  <sheetData>
    <row r="1">
      <c r="A1" s="33" t="s">
        <v>76</v>
      </c>
      <c r="B1" s="33" t="s">
        <v>77</v>
      </c>
      <c r="C1" s="33" t="s">
        <v>78</v>
      </c>
      <c r="D1" s="33" t="s">
        <v>79</v>
      </c>
      <c r="E1" s="33" t="s">
        <v>80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>
      <c r="A2" s="68">
        <v>3087.0</v>
      </c>
      <c r="B2" s="69" t="s">
        <v>81</v>
      </c>
      <c r="C2" s="70">
        <v>344.0</v>
      </c>
      <c r="D2" s="70">
        <v>5683.0</v>
      </c>
      <c r="E2" s="70">
        <v>12.0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>
      <c r="A3" s="68">
        <v>5901.0</v>
      </c>
      <c r="B3" s="69" t="s">
        <v>82</v>
      </c>
      <c r="C3" s="70">
        <v>126.0</v>
      </c>
      <c r="D3" s="70">
        <v>5011.0</v>
      </c>
      <c r="E3" s="70">
        <v>10.0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</row>
    <row r="4">
      <c r="A4" s="68">
        <v>7083.0</v>
      </c>
      <c r="B4" s="69" t="s">
        <v>83</v>
      </c>
      <c r="C4" s="70">
        <v>343.0</v>
      </c>
      <c r="D4" s="70">
        <v>5938.0</v>
      </c>
      <c r="E4" s="70">
        <v>13.0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</row>
    <row r="5">
      <c r="A5" s="68">
        <v>1149.0</v>
      </c>
      <c r="B5" s="69" t="s">
        <v>84</v>
      </c>
      <c r="C5" s="70">
        <v>407.0</v>
      </c>
      <c r="D5" s="70">
        <v>5737.0</v>
      </c>
      <c r="E5" s="70">
        <v>13.0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>
      <c r="A6" s="68">
        <v>7504.0</v>
      </c>
      <c r="B6" s="69" t="s">
        <v>85</v>
      </c>
      <c r="C6" s="70">
        <v>488.0</v>
      </c>
      <c r="D6" s="70">
        <v>4428.0</v>
      </c>
      <c r="E6" s="70">
        <v>12.0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</row>
    <row r="7">
      <c r="A7" s="68">
        <v>6556.0</v>
      </c>
      <c r="B7" s="69" t="s">
        <v>86</v>
      </c>
      <c r="C7" s="70">
        <v>390.0</v>
      </c>
      <c r="D7" s="70">
        <v>4808.0</v>
      </c>
      <c r="E7" s="70">
        <v>14.0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>
      <c r="A8" s="68">
        <v>7124.0</v>
      </c>
      <c r="B8" s="69" t="s">
        <v>87</v>
      </c>
      <c r="C8" s="70">
        <v>317.0</v>
      </c>
      <c r="D8" s="70">
        <v>5021.0</v>
      </c>
      <c r="E8" s="70">
        <v>14.0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</row>
    <row r="9">
      <c r="A9" s="68">
        <v>42120.0</v>
      </c>
      <c r="B9" s="69" t="s">
        <v>88</v>
      </c>
      <c r="C9" s="70">
        <v>322.0</v>
      </c>
      <c r="D9" s="70">
        <v>2840.0</v>
      </c>
      <c r="E9" s="70">
        <v>14.0</v>
      </c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</row>
    <row r="10">
      <c r="A10" s="68">
        <v>8304.0</v>
      </c>
      <c r="B10" s="69" t="s">
        <v>89</v>
      </c>
      <c r="C10" s="70">
        <v>257.0</v>
      </c>
      <c r="D10" s="70">
        <v>2983.0</v>
      </c>
      <c r="E10" s="70">
        <v>11.0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>
      <c r="A11" s="68">
        <v>1323.0</v>
      </c>
      <c r="B11" s="69" t="s">
        <v>90</v>
      </c>
      <c r="C11" s="70">
        <v>310.0</v>
      </c>
      <c r="D11" s="70">
        <v>2601.0</v>
      </c>
      <c r="E11" s="70">
        <v>13.0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>
      <c r="A12" s="68">
        <v>7112.0</v>
      </c>
      <c r="B12" s="69" t="s">
        <v>91</v>
      </c>
      <c r="C12" s="70">
        <v>248.0</v>
      </c>
      <c r="D12" s="70">
        <v>2914.0</v>
      </c>
      <c r="E12" s="70">
        <v>12.0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</row>
    <row r="13">
      <c r="A13" s="68">
        <v>7793.0</v>
      </c>
      <c r="B13" s="69" t="s">
        <v>92</v>
      </c>
      <c r="C13" s="70">
        <v>153.0</v>
      </c>
      <c r="D13" s="70">
        <v>1342.0</v>
      </c>
      <c r="E13" s="70">
        <v>11.0</v>
      </c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</row>
    <row r="14">
      <c r="A14" s="68">
        <v>38959.0</v>
      </c>
      <c r="B14" s="69" t="s">
        <v>93</v>
      </c>
      <c r="C14" s="70">
        <v>154.0</v>
      </c>
      <c r="D14" s="70">
        <v>2349.0</v>
      </c>
      <c r="E14" s="70">
        <v>14.0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5">
      <c r="A15" s="68">
        <v>8314.0</v>
      </c>
      <c r="B15" s="69" t="s">
        <v>94</v>
      </c>
      <c r="C15" s="70">
        <v>99.0</v>
      </c>
      <c r="D15" s="70">
        <v>1630.0</v>
      </c>
      <c r="E15" s="70">
        <v>12.0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>
      <c r="A16" s="68">
        <v>29020.0</v>
      </c>
      <c r="B16" s="69" t="s">
        <v>95</v>
      </c>
      <c r="C16" s="70">
        <v>53.0</v>
      </c>
      <c r="D16" s="70">
        <v>1024.0</v>
      </c>
      <c r="E16" s="70">
        <v>12.0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>
      <c r="A17" s="68">
        <v>5515.0</v>
      </c>
      <c r="B17" s="69" t="s">
        <v>96</v>
      </c>
      <c r="C17" s="70">
        <v>22.0</v>
      </c>
      <c r="D17" s="70">
        <v>1022.0</v>
      </c>
      <c r="E17" s="70">
        <v>10.0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>
      <c r="A18" s="68">
        <v>42119.0</v>
      </c>
      <c r="B18" s="69" t="s">
        <v>97</v>
      </c>
      <c r="C18" s="70">
        <v>78.0</v>
      </c>
      <c r="D18" s="70">
        <v>929.0</v>
      </c>
      <c r="E18" s="70">
        <v>13.0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>
      <c r="A19" s="68">
        <v>31908.0</v>
      </c>
      <c r="B19" s="69" t="s">
        <v>98</v>
      </c>
      <c r="C19" s="70">
        <v>26.0</v>
      </c>
      <c r="D19" s="70">
        <v>840.0</v>
      </c>
      <c r="E19" s="70">
        <v>12.0</v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>
      <c r="A20" s="68">
        <v>38228.0</v>
      </c>
      <c r="B20" s="69" t="s">
        <v>99</v>
      </c>
      <c r="C20" s="70">
        <v>40.0</v>
      </c>
      <c r="D20" s="70">
        <v>780.0</v>
      </c>
      <c r="E20" s="70">
        <v>12.0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</row>
    <row r="21">
      <c r="A21" s="68">
        <v>42117.0</v>
      </c>
      <c r="B21" s="69" t="s">
        <v>100</v>
      </c>
      <c r="C21" s="70">
        <v>69.0</v>
      </c>
      <c r="D21" s="70">
        <v>769.0</v>
      </c>
      <c r="E21" s="70">
        <v>14.0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>
      <c r="A22" s="68">
        <v>38939.0</v>
      </c>
      <c r="B22" s="69" t="s">
        <v>101</v>
      </c>
      <c r="C22" s="70">
        <v>71.0</v>
      </c>
      <c r="D22" s="70">
        <v>752.0</v>
      </c>
      <c r="E22" s="70">
        <v>10.0</v>
      </c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>
      <c r="A23" s="68">
        <v>42118.0</v>
      </c>
      <c r="B23" s="69" t="s">
        <v>102</v>
      </c>
      <c r="C23" s="70">
        <v>20.0</v>
      </c>
      <c r="D23" s="70">
        <v>720.0</v>
      </c>
      <c r="E23" s="70">
        <v>14.0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>
      <c r="A24" s="68">
        <v>3954.0</v>
      </c>
      <c r="B24" s="69" t="s">
        <v>103</v>
      </c>
      <c r="C24" s="70">
        <v>36.0</v>
      </c>
      <c r="D24" s="70">
        <v>567.0</v>
      </c>
      <c r="E24" s="70">
        <v>13.0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</row>
    <row r="25">
      <c r="A25" s="68">
        <v>42124.0</v>
      </c>
      <c r="B25" s="69" t="s">
        <v>104</v>
      </c>
      <c r="C25" s="70">
        <v>8.0</v>
      </c>
      <c r="D25" s="70">
        <v>439.0</v>
      </c>
      <c r="E25" s="70">
        <v>10.0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>
      <c r="A26" s="68">
        <v>42127.0</v>
      </c>
      <c r="B26" s="69" t="s">
        <v>105</v>
      </c>
      <c r="C26" s="70">
        <v>27.0</v>
      </c>
      <c r="D26" s="70">
        <v>360.0</v>
      </c>
      <c r="E26" s="70">
        <v>14.0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>
      <c r="A27" s="68">
        <v>433.0</v>
      </c>
      <c r="B27" s="69" t="s">
        <v>106</v>
      </c>
      <c r="C27" s="70">
        <v>20.0</v>
      </c>
      <c r="D27" s="70">
        <v>362.0</v>
      </c>
      <c r="E27" s="70">
        <v>13.0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>
      <c r="A28" s="68">
        <v>7087.0</v>
      </c>
      <c r="B28" s="69" t="s">
        <v>107</v>
      </c>
      <c r="C28" s="70">
        <v>3.0</v>
      </c>
      <c r="D28" s="70">
        <v>80.0</v>
      </c>
      <c r="E28" s="70">
        <v>10.0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</row>
    <row r="29">
      <c r="A29" s="68">
        <v>7566.0</v>
      </c>
      <c r="B29" s="69" t="s">
        <v>108</v>
      </c>
      <c r="C29" s="70">
        <v>3.0</v>
      </c>
      <c r="D29" s="70">
        <v>60.0</v>
      </c>
      <c r="E29" s="70">
        <v>10.0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</row>
    <row r="30">
      <c r="A30" s="68">
        <v>12888.0</v>
      </c>
      <c r="B30" s="69" t="s">
        <v>109</v>
      </c>
      <c r="C30" s="70">
        <v>2.0</v>
      </c>
      <c r="D30" s="70">
        <v>175.0</v>
      </c>
      <c r="E30" s="70">
        <v>0.0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</row>
    <row r="31">
      <c r="A31" s="68">
        <v>7068.0</v>
      </c>
      <c r="B31" s="69" t="s">
        <v>110</v>
      </c>
      <c r="C31" s="70">
        <v>7.0</v>
      </c>
      <c r="D31" s="70">
        <v>64.0</v>
      </c>
      <c r="E31" s="70">
        <v>10.0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>
      <c r="A32" s="68">
        <v>42125.0</v>
      </c>
      <c r="B32" s="69" t="s">
        <v>111</v>
      </c>
      <c r="C32" s="70">
        <v>2.0</v>
      </c>
      <c r="D32" s="70">
        <v>31.0</v>
      </c>
      <c r="E32" s="70">
        <v>10.0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>
      <c r="A33" s="68">
        <v>48233.0</v>
      </c>
      <c r="B33" s="69" t="s">
        <v>112</v>
      </c>
      <c r="C33" s="70">
        <v>16.0</v>
      </c>
      <c r="D33" s="70">
        <v>231.0</v>
      </c>
      <c r="E33" s="70">
        <v>10.0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>
      <c r="A34" s="68">
        <v>48236.0</v>
      </c>
      <c r="B34" s="69" t="s">
        <v>113</v>
      </c>
      <c r="C34" s="70">
        <v>18.0</v>
      </c>
      <c r="D34" s="70">
        <v>188.0</v>
      </c>
      <c r="E34" s="70">
        <v>10.0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>
      <c r="A35" s="68">
        <v>48239.0</v>
      </c>
      <c r="B35" s="69" t="s">
        <v>114</v>
      </c>
      <c r="C35" s="70">
        <v>46.0</v>
      </c>
      <c r="D35" s="70">
        <v>386.0</v>
      </c>
      <c r="E35" s="70">
        <v>10.0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  <row r="36">
      <c r="A36" s="68">
        <v>48240.0</v>
      </c>
      <c r="B36" s="69" t="s">
        <v>115</v>
      </c>
      <c r="C36" s="70">
        <v>35.0</v>
      </c>
      <c r="D36" s="70">
        <v>498.0</v>
      </c>
      <c r="E36" s="70">
        <v>12.0</v>
      </c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</row>
    <row r="37">
      <c r="A37" s="68">
        <v>48241.0</v>
      </c>
      <c r="B37" s="69" t="s">
        <v>116</v>
      </c>
      <c r="C37" s="70">
        <v>46.0</v>
      </c>
      <c r="D37" s="70">
        <v>527.0</v>
      </c>
      <c r="E37" s="70">
        <v>10.0</v>
      </c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</row>
    <row r="38">
      <c r="A38" s="68">
        <v>48246.0</v>
      </c>
      <c r="B38" s="69" t="s">
        <v>117</v>
      </c>
      <c r="C38" s="70">
        <v>10.0</v>
      </c>
      <c r="D38" s="70">
        <v>133.0</v>
      </c>
      <c r="E38" s="70">
        <v>10.0</v>
      </c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</row>
    <row r="39">
      <c r="A39" s="68">
        <v>48250.0</v>
      </c>
      <c r="B39" s="69" t="s">
        <v>118</v>
      </c>
      <c r="C39" s="70">
        <v>12.0</v>
      </c>
      <c r="D39" s="70">
        <v>68.0</v>
      </c>
      <c r="E39" s="70">
        <v>12.0</v>
      </c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</row>
    <row r="40">
      <c r="A40" s="68">
        <v>48426.0</v>
      </c>
      <c r="B40" s="69" t="s">
        <v>119</v>
      </c>
      <c r="C40" s="70">
        <v>5.0</v>
      </c>
      <c r="D40" s="70">
        <v>26.0</v>
      </c>
      <c r="E40" s="70">
        <v>0.0</v>
      </c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</row>
    <row r="41">
      <c r="A41" s="68">
        <v>513.0</v>
      </c>
      <c r="B41" s="69" t="s">
        <v>120</v>
      </c>
      <c r="C41" s="70">
        <v>15.0</v>
      </c>
      <c r="D41" s="70">
        <v>138.0</v>
      </c>
      <c r="E41" s="70">
        <v>12.0</v>
      </c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</row>
    <row r="42">
      <c r="A42" s="71"/>
      <c r="B42" s="72"/>
      <c r="C42" s="73">
        <f t="shared" ref="C42:D42" si="1">SUM(C2:C41)</f>
        <v>4648</v>
      </c>
      <c r="D42" s="73">
        <f t="shared" si="1"/>
        <v>64454</v>
      </c>
      <c r="E42" s="73">
        <f>AVERAGE(E2:E41)</f>
        <v>11.2</v>
      </c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</row>
    <row r="43">
      <c r="A43" s="71"/>
      <c r="B43" s="72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</row>
    <row r="44">
      <c r="A44" s="71"/>
      <c r="B44" s="72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</row>
    <row r="45">
      <c r="A45" s="71"/>
      <c r="B45" s="72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</row>
    <row r="46">
      <c r="A46" s="71"/>
      <c r="B46" s="72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</row>
    <row r="47">
      <c r="A47" s="71"/>
      <c r="B47" s="72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</row>
    <row r="48">
      <c r="A48" s="71"/>
      <c r="B48" s="72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</row>
    <row r="49">
      <c r="A49" s="71"/>
      <c r="B49" s="72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</row>
    <row r="50">
      <c r="A50" s="71"/>
      <c r="B50" s="72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</row>
    <row r="51">
      <c r="A51" s="71"/>
      <c r="B51" s="72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</row>
    <row r="52">
      <c r="A52" s="71"/>
      <c r="B52" s="72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</row>
    <row r="53">
      <c r="A53" s="71"/>
      <c r="B53" s="72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</row>
    <row r="54">
      <c r="A54" s="71"/>
      <c r="B54" s="72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</row>
    <row r="55">
      <c r="A55" s="71"/>
      <c r="B55" s="72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>
      <c r="A56" s="71"/>
      <c r="B56" s="72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>
      <c r="A57" s="71"/>
      <c r="B57" s="72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</row>
    <row r="58">
      <c r="A58" s="71"/>
      <c r="B58" s="72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</row>
    <row r="59">
      <c r="A59" s="71"/>
      <c r="B59" s="72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</row>
    <row r="60">
      <c r="A60" s="71"/>
      <c r="B60" s="72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</row>
    <row r="61">
      <c r="A61" s="71"/>
      <c r="B61" s="72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</row>
    <row r="62">
      <c r="A62" s="71"/>
      <c r="B62" s="72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>
      <c r="A63" s="71"/>
      <c r="B63" s="72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</row>
    <row r="64">
      <c r="A64" s="71"/>
      <c r="B64" s="72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>
      <c r="A65" s="71"/>
      <c r="B65" s="72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>
      <c r="A66" s="71"/>
      <c r="B66" s="72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>
      <c r="A67" s="71"/>
      <c r="B67" s="72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>
      <c r="A68" s="71"/>
      <c r="B68" s="72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>
      <c r="A69" s="71"/>
      <c r="B69" s="72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>
      <c r="A70" s="71"/>
      <c r="B70" s="72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>
      <c r="A71" s="71"/>
      <c r="B71" s="72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>
      <c r="A72" s="71"/>
      <c r="B72" s="72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>
      <c r="A73" s="71"/>
      <c r="B73" s="72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>
      <c r="A74" s="71"/>
      <c r="B74" s="72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>
      <c r="A75" s="71"/>
      <c r="B75" s="72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>
      <c r="A76" s="71"/>
      <c r="B76" s="72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>
      <c r="A77" s="71"/>
      <c r="B77" s="72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>
      <c r="A78" s="71"/>
      <c r="B78" s="72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>
      <c r="A79" s="71"/>
      <c r="B79" s="72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>
      <c r="A80" s="71"/>
      <c r="B80" s="72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>
      <c r="A81" s="71"/>
      <c r="B81" s="72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>
      <c r="A82" s="71"/>
      <c r="B82" s="72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>
      <c r="A83" s="71"/>
      <c r="B83" s="72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>
      <c r="A84" s="71"/>
      <c r="B84" s="72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>
      <c r="A85" s="71"/>
      <c r="B85" s="72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>
      <c r="A86" s="71"/>
      <c r="B86" s="72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>
      <c r="A87" s="71"/>
      <c r="B87" s="72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>
      <c r="A88" s="71"/>
      <c r="B88" s="72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>
      <c r="A89" s="71"/>
      <c r="B89" s="72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>
      <c r="A90" s="71"/>
      <c r="B90" s="72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>
      <c r="A91" s="71"/>
      <c r="B91" s="72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>
      <c r="A92" s="71"/>
      <c r="B92" s="72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>
      <c r="A93" s="71"/>
      <c r="B93" s="72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>
      <c r="A94" s="71"/>
      <c r="B94" s="72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>
      <c r="A95" s="71"/>
      <c r="B95" s="72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>
      <c r="A96" s="71"/>
      <c r="B96" s="72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>
      <c r="A97" s="71"/>
      <c r="B97" s="72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>
      <c r="A98" s="71"/>
      <c r="B98" s="72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>
      <c r="A99" s="71"/>
      <c r="B99" s="72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>
      <c r="A100" s="71"/>
      <c r="B100" s="7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>
      <c r="A101" s="71"/>
      <c r="B101" s="72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>
      <c r="A102" s="71"/>
      <c r="B102" s="72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>
      <c r="A103" s="71"/>
      <c r="B103" s="72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>
      <c r="A104" s="71"/>
      <c r="B104" s="72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>
      <c r="A105" s="71"/>
      <c r="B105" s="72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>
      <c r="A106" s="71"/>
      <c r="B106" s="72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>
      <c r="A107" s="71"/>
      <c r="B107" s="72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>
      <c r="A108" s="71"/>
      <c r="B108" s="72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>
      <c r="A109" s="71"/>
      <c r="B109" s="72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>
      <c r="A110" s="71"/>
      <c r="B110" s="72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>
      <c r="A111" s="71"/>
      <c r="B111" s="72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>
      <c r="A112" s="71"/>
      <c r="B112" s="72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>
      <c r="A113" s="71"/>
      <c r="B113" s="72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>
      <c r="A114" s="71"/>
      <c r="B114" s="72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>
      <c r="A115" s="71"/>
      <c r="B115" s="72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>
      <c r="A116" s="71"/>
      <c r="B116" s="72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>
      <c r="A117" s="71"/>
      <c r="B117" s="72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>
      <c r="A118" s="71"/>
      <c r="B118" s="72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>
      <c r="A119" s="71"/>
      <c r="B119" s="72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>
      <c r="A120" s="71"/>
      <c r="B120" s="72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>
      <c r="A121" s="71"/>
      <c r="B121" s="72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>
      <c r="A122" s="71"/>
      <c r="B122" s="72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>
      <c r="A123" s="71"/>
      <c r="B123" s="72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>
      <c r="A124" s="71"/>
      <c r="B124" s="72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>
      <c r="A125" s="71"/>
      <c r="B125" s="72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>
      <c r="A126" s="71"/>
      <c r="B126" s="72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>
      <c r="A127" s="71"/>
      <c r="B127" s="72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>
      <c r="A128" s="71"/>
      <c r="B128" s="72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>
      <c r="A129" s="71"/>
      <c r="B129" s="72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>
      <c r="A130" s="71"/>
      <c r="B130" s="72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>
      <c r="A131" s="71"/>
      <c r="B131" s="72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>
      <c r="A132" s="71"/>
      <c r="B132" s="72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>
      <c r="A133" s="71"/>
      <c r="B133" s="72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>
      <c r="A134" s="71"/>
      <c r="B134" s="72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>
      <c r="A135" s="71"/>
      <c r="B135" s="72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>
      <c r="A136" s="71"/>
      <c r="B136" s="72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>
      <c r="A137" s="71"/>
      <c r="B137" s="72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>
      <c r="A138" s="71"/>
      <c r="B138" s="72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>
      <c r="A139" s="71"/>
      <c r="B139" s="72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>
      <c r="A140" s="71"/>
      <c r="B140" s="72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>
      <c r="A141" s="71"/>
      <c r="B141" s="72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>
      <c r="A142" s="71"/>
      <c r="B142" s="72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>
      <c r="A143" s="71"/>
      <c r="B143" s="72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>
      <c r="A144" s="71"/>
      <c r="B144" s="72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>
      <c r="A145" s="71"/>
      <c r="B145" s="72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>
      <c r="A146" s="71"/>
      <c r="B146" s="72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>
      <c r="A147" s="71"/>
      <c r="B147" s="72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>
      <c r="A148" s="71"/>
      <c r="B148" s="72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>
      <c r="A149" s="71"/>
      <c r="B149" s="72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>
      <c r="A150" s="71"/>
      <c r="B150" s="72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>
      <c r="A151" s="71"/>
      <c r="B151" s="72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>
      <c r="A152" s="71"/>
      <c r="B152" s="72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>
      <c r="A153" s="71"/>
      <c r="B153" s="72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>
      <c r="A154" s="71"/>
      <c r="B154" s="72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>
      <c r="A155" s="71"/>
      <c r="B155" s="72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>
      <c r="A156" s="71"/>
      <c r="B156" s="72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>
      <c r="A157" s="71"/>
      <c r="B157" s="72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>
      <c r="A158" s="71"/>
      <c r="B158" s="72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>
      <c r="A159" s="71"/>
      <c r="B159" s="72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>
      <c r="A160" s="71"/>
      <c r="B160" s="72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>
      <c r="A161" s="71"/>
      <c r="B161" s="72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>
      <c r="A162" s="71"/>
      <c r="B162" s="72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>
      <c r="A163" s="71"/>
      <c r="B163" s="72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>
      <c r="A164" s="71"/>
      <c r="B164" s="72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>
      <c r="A165" s="71"/>
      <c r="B165" s="72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>
      <c r="A166" s="71"/>
      <c r="B166" s="72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>
      <c r="A167" s="71"/>
      <c r="B167" s="72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>
      <c r="A168" s="71"/>
      <c r="B168" s="72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>
      <c r="A169" s="71"/>
      <c r="B169" s="72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>
      <c r="A170" s="71"/>
      <c r="B170" s="72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>
      <c r="A171" s="71"/>
      <c r="B171" s="72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>
      <c r="A172" s="71"/>
      <c r="B172" s="72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>
      <c r="A173" s="71"/>
      <c r="B173" s="72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>
      <c r="A174" s="71"/>
      <c r="B174" s="72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>
      <c r="A175" s="71"/>
      <c r="B175" s="72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>
      <c r="A176" s="71"/>
      <c r="B176" s="72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>
      <c r="A177" s="71"/>
      <c r="B177" s="72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>
      <c r="A178" s="71"/>
      <c r="B178" s="72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>
      <c r="A179" s="71"/>
      <c r="B179" s="72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>
      <c r="A180" s="71"/>
      <c r="B180" s="72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>
      <c r="A181" s="71"/>
      <c r="B181" s="72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>
      <c r="A182" s="71"/>
      <c r="B182" s="72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>
      <c r="A183" s="71"/>
      <c r="B183" s="72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>
      <c r="A184" s="71"/>
      <c r="B184" s="72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>
      <c r="A185" s="71"/>
      <c r="B185" s="72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>
      <c r="A186" s="71"/>
      <c r="B186" s="72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>
      <c r="A187" s="71"/>
      <c r="B187" s="72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>
      <c r="A188" s="71"/>
      <c r="B188" s="72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>
      <c r="A189" s="71"/>
      <c r="B189" s="72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>
      <c r="A190" s="71"/>
      <c r="B190" s="72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>
      <c r="A191" s="71"/>
      <c r="B191" s="72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>
      <c r="A192" s="71"/>
      <c r="B192" s="72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>
      <c r="A193" s="71"/>
      <c r="B193" s="72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>
      <c r="A194" s="71"/>
      <c r="B194" s="72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>
      <c r="A195" s="71"/>
      <c r="B195" s="72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>
      <c r="A196" s="71"/>
      <c r="B196" s="72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>
      <c r="A197" s="71"/>
      <c r="B197" s="72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>
      <c r="A198" s="71"/>
      <c r="B198" s="72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>
      <c r="A199" s="71"/>
      <c r="B199" s="72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>
      <c r="A200" s="71"/>
      <c r="B200" s="72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>
      <c r="A201" s="71"/>
      <c r="B201" s="72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>
      <c r="A202" s="71"/>
      <c r="B202" s="72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>
      <c r="A203" s="71"/>
      <c r="B203" s="72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>
      <c r="A204" s="71"/>
      <c r="B204" s="72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>
      <c r="A205" s="71"/>
      <c r="B205" s="72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>
      <c r="A206" s="71"/>
      <c r="B206" s="72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>
      <c r="A207" s="71"/>
      <c r="B207" s="72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>
      <c r="A208" s="71"/>
      <c r="B208" s="72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>
      <c r="A209" s="71"/>
      <c r="B209" s="72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>
      <c r="A210" s="71"/>
      <c r="B210" s="72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>
      <c r="A211" s="71"/>
      <c r="B211" s="72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>
      <c r="A212" s="71"/>
      <c r="B212" s="72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>
      <c r="A213" s="71"/>
      <c r="B213" s="72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>
      <c r="A214" s="71"/>
      <c r="B214" s="72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>
      <c r="A215" s="71"/>
      <c r="B215" s="72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>
      <c r="A216" s="71"/>
      <c r="B216" s="72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>
      <c r="A217" s="71"/>
      <c r="B217" s="72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>
      <c r="A218" s="71"/>
      <c r="B218" s="72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>
      <c r="A219" s="71"/>
      <c r="B219" s="72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>
      <c r="A220" s="71"/>
      <c r="B220" s="72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>
      <c r="A221" s="71"/>
      <c r="B221" s="72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>
      <c r="A222" s="71"/>
      <c r="B222" s="72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>
      <c r="A223" s="71"/>
      <c r="B223" s="72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>
      <c r="A224" s="71"/>
      <c r="B224" s="7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>
      <c r="A225" s="71"/>
      <c r="B225" s="72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>
      <c r="A226" s="71"/>
      <c r="B226" s="72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>
      <c r="A227" s="71"/>
      <c r="B227" s="72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>
      <c r="A228" s="71"/>
      <c r="B228" s="72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>
      <c r="A229" s="71"/>
      <c r="B229" s="72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>
      <c r="A230" s="71"/>
      <c r="B230" s="72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>
      <c r="A231" s="71"/>
      <c r="B231" s="72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>
      <c r="A232" s="71"/>
      <c r="B232" s="72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>
      <c r="A233" s="71"/>
      <c r="B233" s="72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>
      <c r="A234" s="71"/>
      <c r="B234" s="72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>
      <c r="A235" s="71"/>
      <c r="B235" s="72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>
      <c r="A236" s="71"/>
      <c r="B236" s="72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>
      <c r="A237" s="71"/>
      <c r="B237" s="72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>
      <c r="A238" s="71"/>
      <c r="B238" s="72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>
      <c r="A239" s="71"/>
      <c r="B239" s="72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>
      <c r="A240" s="71"/>
      <c r="B240" s="72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>
      <c r="A241" s="71"/>
      <c r="B241" s="72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>
      <c r="A242" s="71"/>
      <c r="B242" s="72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>
      <c r="A243" s="71"/>
      <c r="B243" s="72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>
      <c r="A244" s="71"/>
      <c r="B244" s="72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>
      <c r="A245" s="71"/>
      <c r="B245" s="72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>
      <c r="A246" s="71"/>
      <c r="B246" s="72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>
      <c r="A247" s="71"/>
      <c r="B247" s="72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>
      <c r="A248" s="71"/>
      <c r="B248" s="72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>
      <c r="A249" s="71"/>
      <c r="B249" s="72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>
      <c r="A250" s="71"/>
      <c r="B250" s="72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>
      <c r="A251" s="71"/>
      <c r="B251" s="72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>
      <c r="A252" s="71"/>
      <c r="B252" s="72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>
      <c r="A253" s="71"/>
      <c r="B253" s="72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>
      <c r="A254" s="71"/>
      <c r="B254" s="72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>
      <c r="A255" s="71"/>
      <c r="B255" s="72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>
      <c r="A256" s="71"/>
      <c r="B256" s="72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>
      <c r="A257" s="71"/>
      <c r="B257" s="72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>
      <c r="A258" s="71"/>
      <c r="B258" s="72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>
      <c r="A259" s="71"/>
      <c r="B259" s="72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>
      <c r="A260" s="71"/>
      <c r="B260" s="72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>
      <c r="A261" s="71"/>
      <c r="B261" s="72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>
      <c r="A262" s="71"/>
      <c r="B262" s="72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>
      <c r="A263" s="71"/>
      <c r="B263" s="72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>
      <c r="A264" s="71"/>
      <c r="B264" s="72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>
      <c r="A265" s="71"/>
      <c r="B265" s="72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>
      <c r="A266" s="71"/>
      <c r="B266" s="72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>
      <c r="A267" s="71"/>
      <c r="B267" s="72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>
      <c r="A268" s="71"/>
      <c r="B268" s="72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>
      <c r="A269" s="71"/>
      <c r="B269" s="72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>
      <c r="A270" s="71"/>
      <c r="B270" s="72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>
      <c r="A271" s="71"/>
      <c r="B271" s="72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>
      <c r="A272" s="71"/>
      <c r="B272" s="72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>
      <c r="A273" s="71"/>
      <c r="B273" s="72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>
      <c r="A274" s="71"/>
      <c r="B274" s="72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>
      <c r="A275" s="71"/>
      <c r="B275" s="72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>
      <c r="A276" s="71"/>
      <c r="B276" s="72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>
      <c r="A277" s="71"/>
      <c r="B277" s="72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>
      <c r="A278" s="71"/>
      <c r="B278" s="72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>
      <c r="A279" s="71"/>
      <c r="B279" s="72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>
      <c r="A280" s="71"/>
      <c r="B280" s="72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>
      <c r="A281" s="71"/>
      <c r="B281" s="72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>
      <c r="A282" s="71"/>
      <c r="B282" s="72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>
      <c r="A283" s="71"/>
      <c r="B283" s="72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>
      <c r="A284" s="71"/>
      <c r="B284" s="72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>
      <c r="A285" s="71"/>
      <c r="B285" s="72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>
      <c r="A286" s="71"/>
      <c r="B286" s="72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>
      <c r="A287" s="71"/>
      <c r="B287" s="72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>
      <c r="A288" s="71"/>
      <c r="B288" s="72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>
      <c r="A289" s="71"/>
      <c r="B289" s="72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>
      <c r="A290" s="71"/>
      <c r="B290" s="72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>
      <c r="A291" s="71"/>
      <c r="B291" s="72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>
      <c r="A292" s="71"/>
      <c r="B292" s="72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>
      <c r="A293" s="71"/>
      <c r="B293" s="72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>
      <c r="A294" s="71"/>
      <c r="B294" s="72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>
      <c r="A295" s="71"/>
      <c r="B295" s="72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>
      <c r="A296" s="71"/>
      <c r="B296" s="72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>
      <c r="A297" s="71"/>
      <c r="B297" s="72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>
      <c r="A298" s="71"/>
      <c r="B298" s="72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>
      <c r="A299" s="71"/>
      <c r="B299" s="72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>
      <c r="A300" s="71"/>
      <c r="B300" s="72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>
      <c r="A301" s="71"/>
      <c r="B301" s="72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>
      <c r="A302" s="71"/>
      <c r="B302" s="72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>
      <c r="A303" s="71"/>
      <c r="B303" s="72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>
      <c r="A304" s="71"/>
      <c r="B304" s="72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>
      <c r="A305" s="71"/>
      <c r="B305" s="72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>
      <c r="A306" s="71"/>
      <c r="B306" s="72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>
      <c r="A307" s="71"/>
      <c r="B307" s="72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>
      <c r="A308" s="71"/>
      <c r="B308" s="72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>
      <c r="A309" s="71"/>
      <c r="B309" s="72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>
      <c r="A310" s="71"/>
      <c r="B310" s="72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>
      <c r="A311" s="71"/>
      <c r="B311" s="72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>
      <c r="A312" s="71"/>
      <c r="B312" s="72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>
      <c r="A313" s="71"/>
      <c r="B313" s="72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>
      <c r="A314" s="71"/>
      <c r="B314" s="72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>
      <c r="A315" s="71"/>
      <c r="B315" s="72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>
      <c r="A316" s="71"/>
      <c r="B316" s="72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>
      <c r="A317" s="71"/>
      <c r="B317" s="72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>
      <c r="A318" s="71"/>
      <c r="B318" s="72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>
      <c r="A319" s="71"/>
      <c r="B319" s="72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>
      <c r="A320" s="71"/>
      <c r="B320" s="72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>
      <c r="A321" s="71"/>
      <c r="B321" s="72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>
      <c r="A322" s="71"/>
      <c r="B322" s="72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>
      <c r="A323" s="71"/>
      <c r="B323" s="72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>
      <c r="A324" s="71"/>
      <c r="B324" s="72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>
      <c r="A325" s="71"/>
      <c r="B325" s="72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>
      <c r="A326" s="71"/>
      <c r="B326" s="72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>
      <c r="A327" s="71"/>
      <c r="B327" s="72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>
      <c r="A328" s="71"/>
      <c r="B328" s="72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>
      <c r="A329" s="71"/>
      <c r="B329" s="72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>
      <c r="A330" s="71"/>
      <c r="B330" s="72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>
      <c r="A331" s="71"/>
      <c r="B331" s="72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>
      <c r="A332" s="71"/>
      <c r="B332" s="72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>
      <c r="A333" s="71"/>
      <c r="B333" s="72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>
      <c r="A334" s="71"/>
      <c r="B334" s="72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>
      <c r="A335" s="71"/>
      <c r="B335" s="72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>
      <c r="A336" s="71"/>
      <c r="B336" s="7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>
      <c r="A337" s="71"/>
      <c r="B337" s="72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>
      <c r="A338" s="71"/>
      <c r="B338" s="72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>
      <c r="A339" s="71"/>
      <c r="B339" s="72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>
      <c r="A340" s="71"/>
      <c r="B340" s="72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>
      <c r="A341" s="71"/>
      <c r="B341" s="72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>
      <c r="A342" s="71"/>
      <c r="B342" s="72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>
      <c r="A343" s="71"/>
      <c r="B343" s="72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>
      <c r="A344" s="71"/>
      <c r="B344" s="72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>
      <c r="A345" s="71"/>
      <c r="B345" s="72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>
      <c r="A346" s="71"/>
      <c r="B346" s="72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>
      <c r="A347" s="71"/>
      <c r="B347" s="72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>
      <c r="A348" s="71"/>
      <c r="B348" s="72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>
      <c r="A349" s="71"/>
      <c r="B349" s="72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>
      <c r="A350" s="71"/>
      <c r="B350" s="72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>
      <c r="A351" s="71"/>
      <c r="B351" s="72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>
      <c r="A352" s="71"/>
      <c r="B352" s="72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>
      <c r="A353" s="71"/>
      <c r="B353" s="72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>
      <c r="A354" s="71"/>
      <c r="B354" s="72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>
      <c r="A355" s="71"/>
      <c r="B355" s="72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>
      <c r="A356" s="71"/>
      <c r="B356" s="72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>
      <c r="A357" s="71"/>
      <c r="B357" s="72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>
      <c r="A358" s="71"/>
      <c r="B358" s="72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>
      <c r="A359" s="71"/>
      <c r="B359" s="72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>
      <c r="A360" s="71"/>
      <c r="B360" s="72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>
      <c r="A361" s="71"/>
      <c r="B361" s="72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>
      <c r="A362" s="71"/>
      <c r="B362" s="72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>
      <c r="A363" s="71"/>
      <c r="B363" s="72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>
      <c r="A364" s="71"/>
      <c r="B364" s="72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>
      <c r="A365" s="71"/>
      <c r="B365" s="72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>
      <c r="A366" s="71"/>
      <c r="B366" s="72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>
      <c r="A367" s="71"/>
      <c r="B367" s="72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>
      <c r="A368" s="71"/>
      <c r="B368" s="72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>
      <c r="A369" s="71"/>
      <c r="B369" s="72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>
      <c r="A370" s="71"/>
      <c r="B370" s="72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>
      <c r="A371" s="71"/>
      <c r="B371" s="72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>
      <c r="A372" s="71"/>
      <c r="B372" s="72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>
      <c r="A373" s="71"/>
      <c r="B373" s="72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>
      <c r="A374" s="71"/>
      <c r="B374" s="72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>
      <c r="A375" s="71"/>
      <c r="B375" s="72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>
      <c r="A376" s="71"/>
      <c r="B376" s="72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>
      <c r="A377" s="71"/>
      <c r="B377" s="72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>
      <c r="A378" s="71"/>
      <c r="B378" s="72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>
      <c r="A379" s="71"/>
      <c r="B379" s="72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>
      <c r="A380" s="71"/>
      <c r="B380" s="72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>
      <c r="A381" s="71"/>
      <c r="B381" s="72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>
      <c r="A382" s="71"/>
      <c r="B382" s="72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>
      <c r="A383" s="71"/>
      <c r="B383" s="72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>
      <c r="A384" s="71"/>
      <c r="B384" s="72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>
      <c r="A385" s="71"/>
      <c r="B385" s="72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>
      <c r="A386" s="71"/>
      <c r="B386" s="72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>
      <c r="A387" s="71"/>
      <c r="B387" s="72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>
      <c r="A388" s="71"/>
      <c r="B388" s="72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>
      <c r="A389" s="71"/>
      <c r="B389" s="72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>
      <c r="A390" s="71"/>
      <c r="B390" s="72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>
      <c r="A391" s="71"/>
      <c r="B391" s="7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>
      <c r="A392" s="71"/>
      <c r="B392" s="72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>
      <c r="A393" s="71"/>
      <c r="B393" s="72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>
      <c r="A394" s="71"/>
      <c r="B394" s="72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>
      <c r="A395" s="71"/>
      <c r="B395" s="72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>
      <c r="A396" s="71"/>
      <c r="B396" s="72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>
      <c r="A397" s="71"/>
      <c r="B397" s="72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>
      <c r="A398" s="71"/>
      <c r="B398" s="72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>
      <c r="A399" s="71"/>
      <c r="B399" s="72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>
      <c r="A400" s="71"/>
      <c r="B400" s="72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>
      <c r="A401" s="71"/>
      <c r="B401" s="72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>
      <c r="A402" s="71"/>
      <c r="B402" s="72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>
      <c r="A403" s="71"/>
      <c r="B403" s="72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>
      <c r="A404" s="71"/>
      <c r="B404" s="72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>
      <c r="A405" s="71"/>
      <c r="B405" s="72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>
      <c r="A406" s="71"/>
      <c r="B406" s="72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>
      <c r="A407" s="71"/>
      <c r="B407" s="72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>
      <c r="A408" s="71"/>
      <c r="B408" s="72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>
      <c r="A409" s="71"/>
      <c r="B409" s="72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>
      <c r="A410" s="71"/>
      <c r="B410" s="72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>
      <c r="A411" s="71"/>
      <c r="B411" s="72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>
      <c r="A412" s="71"/>
      <c r="B412" s="72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>
      <c r="A413" s="71"/>
      <c r="B413" s="72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>
      <c r="A414" s="71"/>
      <c r="B414" s="72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>
      <c r="A415" s="71"/>
      <c r="B415" s="72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>
      <c r="A416" s="71"/>
      <c r="B416" s="72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>
      <c r="A417" s="71"/>
      <c r="B417" s="72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>
      <c r="A418" s="71"/>
      <c r="B418" s="72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>
      <c r="A419" s="71"/>
      <c r="B419" s="72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>
      <c r="A420" s="71"/>
      <c r="B420" s="72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>
      <c r="A421" s="71"/>
      <c r="B421" s="72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>
      <c r="A422" s="71"/>
      <c r="B422" s="72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>
      <c r="A423" s="71"/>
      <c r="B423" s="72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>
      <c r="A424" s="71"/>
      <c r="B424" s="72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>
      <c r="A425" s="71"/>
      <c r="B425" s="72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>
      <c r="A426" s="71"/>
      <c r="B426" s="72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>
      <c r="A427" s="71"/>
      <c r="B427" s="72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>
      <c r="A428" s="71"/>
      <c r="B428" s="72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>
      <c r="A429" s="71"/>
      <c r="B429" s="72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>
      <c r="A430" s="71"/>
      <c r="B430" s="72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>
      <c r="A431" s="71"/>
      <c r="B431" s="72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>
      <c r="A432" s="71"/>
      <c r="B432" s="72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>
      <c r="A433" s="71"/>
      <c r="B433" s="72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>
      <c r="A434" s="71"/>
      <c r="B434" s="72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>
      <c r="A435" s="71"/>
      <c r="B435" s="72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>
      <c r="A436" s="71"/>
      <c r="B436" s="72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>
      <c r="A437" s="71"/>
      <c r="B437" s="72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>
      <c r="A438" s="71"/>
      <c r="B438" s="72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>
      <c r="A439" s="71"/>
      <c r="B439" s="72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>
      <c r="A440" s="71"/>
      <c r="B440" s="72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>
      <c r="A441" s="71"/>
      <c r="B441" s="72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>
      <c r="A442" s="71"/>
      <c r="B442" s="72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>
      <c r="A443" s="71"/>
      <c r="B443" s="72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>
      <c r="A444" s="71"/>
      <c r="B444" s="72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>
      <c r="A445" s="71"/>
      <c r="B445" s="72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>
      <c r="A446" s="71"/>
      <c r="B446" s="72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>
      <c r="A447" s="71"/>
      <c r="B447" s="72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>
      <c r="A448" s="71"/>
      <c r="B448" s="72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>
      <c r="A449" s="71"/>
      <c r="B449" s="72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>
      <c r="A450" s="71"/>
      <c r="B450" s="72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>
      <c r="A451" s="71"/>
      <c r="B451" s="72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>
      <c r="A452" s="71"/>
      <c r="B452" s="72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>
      <c r="A453" s="71"/>
      <c r="B453" s="72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>
      <c r="A454" s="71"/>
      <c r="B454" s="72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>
      <c r="A456" s="71"/>
      <c r="B456" s="72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>
      <c r="A457" s="71"/>
      <c r="B457" s="72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>
      <c r="A458" s="71"/>
      <c r="B458" s="72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>
      <c r="A459" s="71"/>
      <c r="B459" s="72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>
      <c r="A460" s="71"/>
      <c r="B460" s="72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>
      <c r="A461" s="71"/>
      <c r="B461" s="72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>
      <c r="A462" s="71"/>
      <c r="B462" s="72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>
      <c r="A463" s="71"/>
      <c r="B463" s="72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>
      <c r="A464" s="71"/>
      <c r="B464" s="72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>
      <c r="A465" s="71"/>
      <c r="B465" s="72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>
      <c r="A466" s="71"/>
      <c r="B466" s="72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>
      <c r="A467" s="71"/>
      <c r="B467" s="72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>
      <c r="A468" s="71"/>
      <c r="B468" s="72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>
      <c r="A469" s="71"/>
      <c r="B469" s="72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>
      <c r="A470" s="71"/>
      <c r="B470" s="72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>
      <c r="A471" s="71"/>
      <c r="B471" s="72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>
      <c r="A472" s="71"/>
      <c r="B472" s="72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>
      <c r="A473" s="71"/>
      <c r="B473" s="72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>
      <c r="A474" s="71"/>
      <c r="B474" s="72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>
      <c r="A475" s="71"/>
      <c r="B475" s="72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>
      <c r="A476" s="71"/>
      <c r="B476" s="72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>
      <c r="A477" s="71"/>
      <c r="B477" s="72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>
      <c r="A478" s="71"/>
      <c r="B478" s="72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>
      <c r="A479" s="71"/>
      <c r="B479" s="72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>
      <c r="A480" s="71"/>
      <c r="B480" s="72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>
      <c r="A481" s="71"/>
      <c r="B481" s="72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>
      <c r="A482" s="71"/>
      <c r="B482" s="72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>
      <c r="A483" s="71"/>
      <c r="B483" s="72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>
      <c r="A484" s="71"/>
      <c r="B484" s="72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>
      <c r="A485" s="71"/>
      <c r="B485" s="72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>
      <c r="A486" s="71"/>
      <c r="B486" s="72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>
      <c r="A487" s="71"/>
      <c r="B487" s="72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>
      <c r="A488" s="71"/>
      <c r="B488" s="72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>
      <c r="A489" s="71"/>
      <c r="B489" s="72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>
      <c r="A490" s="71"/>
      <c r="B490" s="72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>
      <c r="A491" s="71"/>
      <c r="B491" s="72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>
      <c r="A492" s="71"/>
      <c r="B492" s="72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>
      <c r="A493" s="71"/>
      <c r="B493" s="72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>
      <c r="A494" s="71"/>
      <c r="B494" s="72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>
      <c r="A495" s="71"/>
      <c r="B495" s="72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>
      <c r="A496" s="71"/>
      <c r="B496" s="72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>
      <c r="A497" s="71"/>
      <c r="B497" s="72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>
      <c r="A498" s="71"/>
      <c r="B498" s="72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>
      <c r="A499" s="71"/>
      <c r="B499" s="72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>
      <c r="A500" s="71"/>
      <c r="B500" s="72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>
      <c r="A501" s="71"/>
      <c r="B501" s="72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>
      <c r="A502" s="71"/>
      <c r="B502" s="72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>
      <c r="A503" s="71"/>
      <c r="B503" s="72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>
      <c r="A504" s="71"/>
      <c r="B504" s="72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>
      <c r="A505" s="71"/>
      <c r="B505" s="72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>
      <c r="A506" s="71"/>
      <c r="B506" s="72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>
      <c r="A507" s="71"/>
      <c r="B507" s="72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>
      <c r="A508" s="71"/>
      <c r="B508" s="72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>
      <c r="A509" s="71"/>
      <c r="B509" s="72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>
      <c r="A510" s="71"/>
      <c r="B510" s="72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>
      <c r="A511" s="71"/>
      <c r="B511" s="72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>
      <c r="A512" s="71"/>
      <c r="B512" s="72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>
      <c r="A513" s="71"/>
      <c r="B513" s="72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>
      <c r="A514" s="71"/>
      <c r="B514" s="72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>
      <c r="A515" s="71"/>
      <c r="B515" s="72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>
      <c r="A516" s="71"/>
      <c r="B516" s="72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>
      <c r="A517" s="71"/>
      <c r="B517" s="72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>
      <c r="A518" s="71"/>
      <c r="B518" s="72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>
      <c r="A519" s="71"/>
      <c r="B519" s="72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>
      <c r="A520" s="71"/>
      <c r="B520" s="72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>
      <c r="A521" s="71"/>
      <c r="B521" s="72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>
      <c r="A522" s="71"/>
      <c r="B522" s="72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>
      <c r="A523" s="71"/>
      <c r="B523" s="72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>
      <c r="A524" s="71"/>
      <c r="B524" s="72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>
      <c r="A525" s="71"/>
      <c r="B525" s="72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>
      <c r="A526" s="71"/>
      <c r="B526" s="72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>
      <c r="A527" s="71"/>
      <c r="B527" s="72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>
      <c r="A528" s="71"/>
      <c r="B528" s="72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>
      <c r="A529" s="71"/>
      <c r="B529" s="72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>
      <c r="A530" s="71"/>
      <c r="B530" s="72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>
      <c r="A531" s="71"/>
      <c r="B531" s="72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>
      <c r="A532" s="71"/>
      <c r="B532" s="72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>
      <c r="A533" s="71"/>
      <c r="B533" s="72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>
      <c r="A534" s="71"/>
      <c r="B534" s="72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>
      <c r="A535" s="71"/>
      <c r="B535" s="72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>
      <c r="A536" s="71"/>
      <c r="B536" s="72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>
      <c r="A537" s="71"/>
      <c r="B537" s="72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>
      <c r="A538" s="71"/>
      <c r="B538" s="72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>
      <c r="A539" s="71"/>
      <c r="B539" s="72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>
      <c r="A540" s="71"/>
      <c r="B540" s="72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>
      <c r="A541" s="71"/>
      <c r="B541" s="72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>
      <c r="A542" s="71"/>
      <c r="B542" s="72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>
      <c r="A543" s="71"/>
      <c r="B543" s="72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>
      <c r="A544" s="71"/>
      <c r="B544" s="72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>
      <c r="A545" s="71"/>
      <c r="B545" s="72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>
      <c r="A546" s="71"/>
      <c r="B546" s="72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>
      <c r="A547" s="71"/>
      <c r="B547" s="72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>
      <c r="A548" s="71"/>
      <c r="B548" s="72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>
      <c r="A549" s="71"/>
      <c r="B549" s="72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>
      <c r="A550" s="71"/>
      <c r="B550" s="72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>
      <c r="A551" s="71"/>
      <c r="B551" s="72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>
      <c r="A552" s="71"/>
      <c r="B552" s="72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>
      <c r="A553" s="71"/>
      <c r="B553" s="72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>
      <c r="A554" s="71"/>
      <c r="B554" s="72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>
      <c r="A555" s="71"/>
      <c r="B555" s="72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>
      <c r="A556" s="71"/>
      <c r="B556" s="72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>
      <c r="A557" s="71"/>
      <c r="B557" s="72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>
      <c r="A558" s="71"/>
      <c r="B558" s="72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>
      <c r="A559" s="71"/>
      <c r="B559" s="72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>
      <c r="A560" s="71"/>
      <c r="B560" s="72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>
      <c r="A561" s="71"/>
      <c r="B561" s="72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>
      <c r="A562" s="71"/>
      <c r="B562" s="72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>
      <c r="A563" s="71"/>
      <c r="B563" s="72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>
      <c r="A564" s="71"/>
      <c r="B564" s="72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>
      <c r="A565" s="71"/>
      <c r="B565" s="72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>
      <c r="A566" s="71"/>
      <c r="B566" s="72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>
      <c r="A567" s="71"/>
      <c r="B567" s="72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>
      <c r="A568" s="71"/>
      <c r="B568" s="72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>
      <c r="A569" s="71"/>
      <c r="B569" s="72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>
      <c r="A570" s="71"/>
      <c r="B570" s="72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>
      <c r="A571" s="71"/>
      <c r="B571" s="72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>
      <c r="A572" s="71"/>
      <c r="B572" s="72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>
      <c r="A573" s="71"/>
      <c r="B573" s="72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>
      <c r="A574" s="71"/>
      <c r="B574" s="72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>
      <c r="A575" s="71"/>
      <c r="B575" s="72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>
      <c r="A576" s="71"/>
      <c r="B576" s="72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>
      <c r="A577" s="71"/>
      <c r="B577" s="72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>
      <c r="A578" s="71"/>
      <c r="B578" s="72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>
      <c r="A579" s="71"/>
      <c r="B579" s="72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>
      <c r="A580" s="71"/>
      <c r="B580" s="72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>
      <c r="A581" s="71"/>
      <c r="B581" s="72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>
      <c r="A582" s="71"/>
      <c r="B582" s="72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>
      <c r="A583" s="71"/>
      <c r="B583" s="72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>
      <c r="A584" s="71"/>
      <c r="B584" s="72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>
      <c r="A585" s="71"/>
      <c r="B585" s="72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>
      <c r="A586" s="71"/>
      <c r="B586" s="72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>
      <c r="A587" s="71"/>
      <c r="B587" s="72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>
      <c r="A588" s="71"/>
      <c r="B588" s="72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>
      <c r="A589" s="71"/>
      <c r="B589" s="72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>
      <c r="A590" s="71"/>
      <c r="B590" s="72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>
      <c r="A591" s="71"/>
      <c r="B591" s="72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>
      <c r="A592" s="71"/>
      <c r="B592" s="72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>
      <c r="A593" s="71"/>
      <c r="B593" s="72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>
      <c r="A594" s="71"/>
      <c r="B594" s="72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>
      <c r="A595" s="71"/>
      <c r="B595" s="72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>
      <c r="A596" s="71"/>
      <c r="B596" s="72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>
      <c r="A597" s="71"/>
      <c r="B597" s="72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>
      <c r="A598" s="71"/>
      <c r="B598" s="72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>
      <c r="A599" s="71"/>
      <c r="B599" s="72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>
      <c r="A600" s="71"/>
      <c r="B600" s="72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>
      <c r="A601" s="71"/>
      <c r="B601" s="72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>
      <c r="A602" s="71"/>
      <c r="B602" s="72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>
      <c r="A603" s="71"/>
      <c r="B603" s="72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>
      <c r="A604" s="71"/>
      <c r="B604" s="72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>
      <c r="A605" s="71"/>
      <c r="B605" s="72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>
      <c r="A606" s="71"/>
      <c r="B606" s="72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>
      <c r="A607" s="71"/>
      <c r="B607" s="72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>
      <c r="A608" s="71"/>
      <c r="B608" s="72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>
      <c r="A609" s="71"/>
      <c r="B609" s="72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>
      <c r="A610" s="71"/>
      <c r="B610" s="72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>
      <c r="A611" s="71"/>
      <c r="B611" s="72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>
      <c r="A612" s="71"/>
      <c r="B612" s="72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>
      <c r="A613" s="71"/>
      <c r="B613" s="72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>
      <c r="A614" s="71"/>
      <c r="B614" s="72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>
      <c r="A615" s="71"/>
      <c r="B615" s="72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>
      <c r="A616" s="71"/>
      <c r="B616" s="72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>
      <c r="A617" s="71"/>
      <c r="B617" s="72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>
      <c r="A618" s="71"/>
      <c r="B618" s="72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>
      <c r="A619" s="71"/>
      <c r="B619" s="72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>
      <c r="A620" s="71"/>
      <c r="B620" s="72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>
      <c r="A621" s="71"/>
      <c r="B621" s="72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>
      <c r="A622" s="71"/>
      <c r="B622" s="72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>
      <c r="A623" s="71"/>
      <c r="B623" s="72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>
      <c r="A624" s="71"/>
      <c r="B624" s="72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>
      <c r="A625" s="71"/>
      <c r="B625" s="72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>
      <c r="A626" s="71"/>
      <c r="B626" s="72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>
      <c r="A627" s="71"/>
      <c r="B627" s="72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>
      <c r="A628" s="71"/>
      <c r="B628" s="72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>
      <c r="A629" s="71"/>
      <c r="B629" s="72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>
      <c r="A630" s="71"/>
      <c r="B630" s="72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>
      <c r="A631" s="71"/>
      <c r="B631" s="72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>
      <c r="A632" s="71"/>
      <c r="B632" s="72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>
      <c r="A633" s="71"/>
      <c r="B633" s="72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>
      <c r="A634" s="71"/>
      <c r="B634" s="72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>
      <c r="A635" s="71"/>
      <c r="B635" s="72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>
      <c r="A636" s="71"/>
      <c r="B636" s="72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>
      <c r="A637" s="71"/>
      <c r="B637" s="72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>
      <c r="A638" s="71"/>
      <c r="B638" s="72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>
      <c r="A639" s="71"/>
      <c r="B639" s="72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>
      <c r="A640" s="71"/>
      <c r="B640" s="72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>
      <c r="A641" s="71"/>
      <c r="B641" s="72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>
      <c r="A642" s="71"/>
      <c r="B642" s="72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>
      <c r="A643" s="71"/>
      <c r="B643" s="72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>
      <c r="A644" s="71"/>
      <c r="B644" s="72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>
      <c r="A645" s="71"/>
      <c r="B645" s="72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>
      <c r="A646" s="71"/>
      <c r="B646" s="72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>
      <c r="A647" s="71"/>
      <c r="B647" s="72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>
      <c r="A648" s="71"/>
      <c r="B648" s="72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>
      <c r="A649" s="71"/>
      <c r="B649" s="72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>
      <c r="A650" s="71"/>
      <c r="B650" s="72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>
      <c r="A651" s="71"/>
      <c r="B651" s="72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>
      <c r="A652" s="71"/>
      <c r="B652" s="72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>
      <c r="A653" s="71"/>
      <c r="B653" s="72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>
      <c r="A654" s="71"/>
      <c r="B654" s="72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>
      <c r="A655" s="71"/>
      <c r="B655" s="72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>
      <c r="A656" s="71"/>
      <c r="B656" s="72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>
      <c r="A657" s="71"/>
      <c r="B657" s="72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>
      <c r="A658" s="71"/>
      <c r="B658" s="72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>
      <c r="A659" s="71"/>
      <c r="B659" s="72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>
      <c r="A660" s="71"/>
      <c r="B660" s="72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>
      <c r="A661" s="71"/>
      <c r="B661" s="72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>
      <c r="A662" s="71"/>
      <c r="B662" s="72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>
      <c r="A663" s="71"/>
      <c r="B663" s="72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>
      <c r="A664" s="71"/>
      <c r="B664" s="72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>
      <c r="A665" s="71"/>
      <c r="B665" s="72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>
      <c r="A666" s="71"/>
      <c r="B666" s="72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>
      <c r="A667" s="71"/>
      <c r="B667" s="72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>
      <c r="A668" s="71"/>
      <c r="B668" s="72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>
      <c r="A669" s="71"/>
      <c r="B669" s="72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>
      <c r="A670" s="71"/>
      <c r="B670" s="72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>
      <c r="A671" s="71"/>
      <c r="B671" s="72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>
      <c r="A672" s="71"/>
      <c r="B672" s="72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>
      <c r="A673" s="71"/>
      <c r="B673" s="72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>
      <c r="A674" s="71"/>
      <c r="B674" s="72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>
      <c r="A675" s="71"/>
      <c r="B675" s="72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>
      <c r="A676" s="71"/>
      <c r="B676" s="72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>
      <c r="A677" s="71"/>
      <c r="B677" s="72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>
      <c r="A678" s="71"/>
      <c r="B678" s="72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>
      <c r="A679" s="71"/>
      <c r="B679" s="72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>
      <c r="A680" s="71"/>
      <c r="B680" s="72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>
      <c r="A681" s="71"/>
      <c r="B681" s="72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>
      <c r="A682" s="71"/>
      <c r="B682" s="72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>
      <c r="A683" s="71"/>
      <c r="B683" s="72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>
      <c r="A684" s="71"/>
      <c r="B684" s="72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>
      <c r="A685" s="71"/>
      <c r="B685" s="72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>
      <c r="A686" s="71"/>
      <c r="B686" s="72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>
      <c r="A687" s="71"/>
      <c r="B687" s="72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>
      <c r="A688" s="71"/>
      <c r="B688" s="72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>
      <c r="A689" s="71"/>
      <c r="B689" s="72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>
      <c r="A690" s="71"/>
      <c r="B690" s="72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>
      <c r="A691" s="71"/>
      <c r="B691" s="72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>
      <c r="A692" s="71"/>
      <c r="B692" s="72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>
      <c r="A693" s="71"/>
      <c r="B693" s="72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>
      <c r="A694" s="71"/>
      <c r="B694" s="72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>
      <c r="A695" s="71"/>
      <c r="B695" s="72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>
      <c r="A696" s="71"/>
      <c r="B696" s="72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>
      <c r="A697" s="71"/>
      <c r="B697" s="72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>
      <c r="A698" s="71"/>
      <c r="B698" s="72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>
      <c r="A699" s="71"/>
      <c r="B699" s="72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>
      <c r="A700" s="71"/>
      <c r="B700" s="72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>
      <c r="A701" s="71"/>
      <c r="B701" s="72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>
      <c r="A702" s="71"/>
      <c r="B702" s="72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>
      <c r="A703" s="71"/>
      <c r="B703" s="72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>
      <c r="A704" s="71"/>
      <c r="B704" s="72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>
      <c r="A705" s="71"/>
      <c r="B705" s="72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>
      <c r="A706" s="71"/>
      <c r="B706" s="72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>
      <c r="A707" s="71"/>
      <c r="B707" s="72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>
      <c r="A708" s="71"/>
      <c r="B708" s="72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>
      <c r="A709" s="71"/>
      <c r="B709" s="72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>
      <c r="A710" s="71"/>
      <c r="B710" s="72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>
      <c r="A711" s="71"/>
      <c r="B711" s="72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>
      <c r="A712" s="71"/>
      <c r="B712" s="72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>
      <c r="A713" s="71"/>
      <c r="B713" s="72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>
      <c r="A714" s="71"/>
      <c r="B714" s="72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>
      <c r="A715" s="71"/>
      <c r="B715" s="72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>
      <c r="A716" s="71"/>
      <c r="B716" s="72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>
      <c r="A717" s="71"/>
      <c r="B717" s="72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>
      <c r="A718" s="71"/>
      <c r="B718" s="72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>
      <c r="A719" s="71"/>
      <c r="B719" s="72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>
      <c r="A720" s="71"/>
      <c r="B720" s="72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>
      <c r="A721" s="71"/>
      <c r="B721" s="72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>
      <c r="A722" s="71"/>
      <c r="B722" s="72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>
      <c r="A723" s="71"/>
      <c r="B723" s="72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>
      <c r="A724" s="71"/>
      <c r="B724" s="72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>
      <c r="A725" s="71"/>
      <c r="B725" s="72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>
      <c r="A726" s="71"/>
      <c r="B726" s="72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>
      <c r="A727" s="71"/>
      <c r="B727" s="72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>
      <c r="A728" s="71"/>
      <c r="B728" s="72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>
      <c r="A729" s="71"/>
      <c r="B729" s="72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>
      <c r="A730" s="71"/>
      <c r="B730" s="72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>
      <c r="A731" s="71"/>
      <c r="B731" s="72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>
      <c r="A732" s="71"/>
      <c r="B732" s="72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>
      <c r="A733" s="71"/>
      <c r="B733" s="72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>
      <c r="A734" s="71"/>
      <c r="B734" s="72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>
      <c r="A735" s="71"/>
      <c r="B735" s="72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>
      <c r="A736" s="71"/>
      <c r="B736" s="72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>
      <c r="A737" s="71"/>
      <c r="B737" s="72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>
      <c r="A738" s="71"/>
      <c r="B738" s="72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>
      <c r="A739" s="71"/>
      <c r="B739" s="72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>
      <c r="A740" s="71"/>
      <c r="B740" s="72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>
      <c r="A741" s="71"/>
      <c r="B741" s="72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>
      <c r="A742" s="71"/>
      <c r="B742" s="72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>
      <c r="A743" s="71"/>
      <c r="B743" s="72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>
      <c r="A744" s="71"/>
      <c r="B744" s="72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>
      <c r="A745" s="71"/>
      <c r="B745" s="72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>
      <c r="A746" s="71"/>
      <c r="B746" s="72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>
      <c r="A747" s="71"/>
      <c r="B747" s="72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>
      <c r="A748" s="71"/>
      <c r="B748" s="72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>
      <c r="A749" s="71"/>
      <c r="B749" s="72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>
      <c r="A750" s="71"/>
      <c r="B750" s="72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>
      <c r="A751" s="71"/>
      <c r="B751" s="72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>
      <c r="A752" s="71"/>
      <c r="B752" s="72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>
      <c r="A753" s="71"/>
      <c r="B753" s="72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>
      <c r="A754" s="71"/>
      <c r="B754" s="72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>
      <c r="A755" s="71"/>
      <c r="B755" s="72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>
      <c r="A756" s="71"/>
      <c r="B756" s="72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>
      <c r="A757" s="71"/>
      <c r="B757" s="72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>
      <c r="A758" s="71"/>
      <c r="B758" s="72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>
      <c r="A759" s="71"/>
      <c r="B759" s="72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>
      <c r="A760" s="71"/>
      <c r="B760" s="72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>
      <c r="A761" s="71"/>
      <c r="B761" s="72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>
      <c r="A762" s="71"/>
      <c r="B762" s="72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>
      <c r="A763" s="71"/>
      <c r="B763" s="72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>
      <c r="A764" s="71"/>
      <c r="B764" s="72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>
      <c r="A765" s="71"/>
      <c r="B765" s="72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>
      <c r="A766" s="71"/>
      <c r="B766" s="72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>
      <c r="A767" s="71"/>
      <c r="B767" s="72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>
      <c r="A768" s="71"/>
      <c r="B768" s="72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>
      <c r="A769" s="71"/>
      <c r="B769" s="72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>
      <c r="A770" s="71"/>
      <c r="B770" s="72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>
      <c r="A771" s="71"/>
      <c r="B771" s="72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>
      <c r="A772" s="71"/>
      <c r="B772" s="72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>
      <c r="A773" s="71"/>
      <c r="B773" s="72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>
      <c r="A774" s="71"/>
      <c r="B774" s="72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>
      <c r="A775" s="71"/>
      <c r="B775" s="72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>
      <c r="A776" s="71"/>
      <c r="B776" s="72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>
      <c r="A777" s="71"/>
      <c r="B777" s="72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>
      <c r="A778" s="71"/>
      <c r="B778" s="72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>
      <c r="A779" s="71"/>
      <c r="B779" s="72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>
      <c r="A780" s="71"/>
      <c r="B780" s="72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>
      <c r="A781" s="71"/>
      <c r="B781" s="72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>
      <c r="A782" s="71"/>
      <c r="B782" s="72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>
      <c r="A783" s="71"/>
      <c r="B783" s="72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>
      <c r="A784" s="71"/>
      <c r="B784" s="72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>
      <c r="A785" s="71"/>
      <c r="B785" s="72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>
      <c r="A786" s="71"/>
      <c r="B786" s="72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>
      <c r="A787" s="71"/>
      <c r="B787" s="72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>
      <c r="A788" s="71"/>
      <c r="B788" s="72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>
      <c r="A789" s="71"/>
      <c r="B789" s="72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>
      <c r="A790" s="71"/>
      <c r="B790" s="72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>
      <c r="A791" s="71"/>
      <c r="B791" s="72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>
      <c r="A792" s="71"/>
      <c r="B792" s="72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>
      <c r="A793" s="71"/>
      <c r="B793" s="72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>
      <c r="A794" s="71"/>
      <c r="B794" s="72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>
      <c r="A795" s="71"/>
      <c r="B795" s="72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>
      <c r="A796" s="71"/>
      <c r="B796" s="72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>
      <c r="A797" s="71"/>
      <c r="B797" s="72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>
      <c r="A798" s="71"/>
      <c r="B798" s="72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>
      <c r="A799" s="71"/>
      <c r="B799" s="72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>
      <c r="A800" s="71"/>
      <c r="B800" s="72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>
      <c r="A801" s="71"/>
      <c r="B801" s="72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>
      <c r="A802" s="71"/>
      <c r="B802" s="72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>
      <c r="A803" s="71"/>
      <c r="B803" s="72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>
      <c r="A804" s="71"/>
      <c r="B804" s="72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>
      <c r="A805" s="71"/>
      <c r="B805" s="72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>
      <c r="A806" s="71"/>
      <c r="B806" s="72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>
      <c r="A807" s="71"/>
      <c r="B807" s="72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>
      <c r="A808" s="71"/>
      <c r="B808" s="72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>
      <c r="A809" s="71"/>
      <c r="B809" s="72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>
      <c r="A810" s="71"/>
      <c r="B810" s="72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>
      <c r="A811" s="71"/>
      <c r="B811" s="72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>
      <c r="A812" s="71"/>
      <c r="B812" s="72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>
      <c r="A813" s="71"/>
      <c r="B813" s="72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>
      <c r="A814" s="71"/>
      <c r="B814" s="72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>
      <c r="A815" s="71"/>
      <c r="B815" s="72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>
      <c r="A816" s="71"/>
      <c r="B816" s="72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>
      <c r="A817" s="71"/>
      <c r="B817" s="72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>
      <c r="A818" s="71"/>
      <c r="B818" s="72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>
      <c r="A819" s="71"/>
      <c r="B819" s="72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>
      <c r="A820" s="71"/>
      <c r="B820" s="72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>
      <c r="A821" s="71"/>
      <c r="B821" s="72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>
      <c r="A822" s="71"/>
      <c r="B822" s="72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>
      <c r="A823" s="71"/>
      <c r="B823" s="72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>
      <c r="A824" s="71"/>
      <c r="B824" s="72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>
      <c r="A825" s="71"/>
      <c r="B825" s="72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>
      <c r="A826" s="71"/>
      <c r="B826" s="72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>
      <c r="A827" s="71"/>
      <c r="B827" s="72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>
      <c r="A828" s="71"/>
      <c r="B828" s="72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>
      <c r="A829" s="71"/>
      <c r="B829" s="72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>
      <c r="A830" s="71"/>
      <c r="B830" s="72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>
      <c r="A831" s="71"/>
      <c r="B831" s="72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>
      <c r="A832" s="71"/>
      <c r="B832" s="72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>
      <c r="A833" s="71"/>
      <c r="B833" s="72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>
      <c r="A834" s="71"/>
      <c r="B834" s="72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>
      <c r="A835" s="71"/>
      <c r="B835" s="72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>
      <c r="A836" s="71"/>
      <c r="B836" s="72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>
      <c r="A837" s="71"/>
      <c r="B837" s="72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>
      <c r="A838" s="71"/>
      <c r="B838" s="72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>
      <c r="A839" s="71"/>
      <c r="B839" s="72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>
      <c r="A840" s="71"/>
      <c r="B840" s="72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>
      <c r="A841" s="71"/>
      <c r="B841" s="72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>
      <c r="A842" s="71"/>
      <c r="B842" s="72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>
      <c r="A843" s="71"/>
      <c r="B843" s="72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>
      <c r="A844" s="71"/>
      <c r="B844" s="72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>
      <c r="A845" s="71"/>
      <c r="B845" s="72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>
      <c r="A846" s="71"/>
      <c r="B846" s="72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>
      <c r="A847" s="71"/>
      <c r="B847" s="72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>
      <c r="A848" s="71"/>
      <c r="B848" s="72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>
      <c r="A849" s="71"/>
      <c r="B849" s="72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>
      <c r="A850" s="71"/>
      <c r="B850" s="72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>
      <c r="A851" s="71"/>
      <c r="B851" s="72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>
      <c r="A852" s="71"/>
      <c r="B852" s="72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>
      <c r="A853" s="71"/>
      <c r="B853" s="72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>
      <c r="A854" s="71"/>
      <c r="B854" s="72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>
      <c r="A855" s="71"/>
      <c r="B855" s="72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>
      <c r="A856" s="71"/>
      <c r="B856" s="72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>
      <c r="A857" s="71"/>
      <c r="B857" s="72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>
      <c r="A858" s="71"/>
      <c r="B858" s="72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>
      <c r="A859" s="71"/>
      <c r="B859" s="72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>
      <c r="A860" s="71"/>
      <c r="B860" s="72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>
      <c r="A861" s="71"/>
      <c r="B861" s="72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>
      <c r="A862" s="71"/>
      <c r="B862" s="72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>
      <c r="A863" s="71"/>
      <c r="B863" s="72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>
      <c r="A864" s="71"/>
      <c r="B864" s="72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>
      <c r="A865" s="71"/>
      <c r="B865" s="72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>
      <c r="A866" s="71"/>
      <c r="B866" s="72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>
      <c r="A867" s="71"/>
      <c r="B867" s="72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>
      <c r="A868" s="71"/>
      <c r="B868" s="72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>
      <c r="A869" s="71"/>
      <c r="B869" s="72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>
      <c r="A870" s="71"/>
      <c r="B870" s="72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>
      <c r="A871" s="71"/>
      <c r="B871" s="72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>
      <c r="A872" s="71"/>
      <c r="B872" s="72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>
      <c r="A873" s="71"/>
      <c r="B873" s="72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>
      <c r="A874" s="71"/>
      <c r="B874" s="72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>
      <c r="A875" s="71"/>
      <c r="B875" s="72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>
      <c r="A876" s="71"/>
      <c r="B876" s="72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>
      <c r="A877" s="71"/>
      <c r="B877" s="72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>
      <c r="A878" s="71"/>
      <c r="B878" s="72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>
      <c r="A879" s="71"/>
      <c r="B879" s="72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>
      <c r="A880" s="71"/>
      <c r="B880" s="72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>
      <c r="A881" s="71"/>
      <c r="B881" s="72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>
      <c r="A882" s="71"/>
      <c r="B882" s="72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>
      <c r="A883" s="71"/>
      <c r="B883" s="72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>
      <c r="A884" s="71"/>
      <c r="B884" s="72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>
      <c r="A885" s="71"/>
      <c r="B885" s="72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>
      <c r="A886" s="71"/>
      <c r="B886" s="72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>
      <c r="A887" s="71"/>
      <c r="B887" s="72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>
      <c r="A888" s="71"/>
      <c r="B888" s="72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>
      <c r="A889" s="71"/>
      <c r="B889" s="72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>
      <c r="A890" s="71"/>
      <c r="B890" s="72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>
      <c r="A891" s="71"/>
      <c r="B891" s="72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>
      <c r="A892" s="71"/>
      <c r="B892" s="72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>
      <c r="A893" s="71"/>
      <c r="B893" s="72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>
      <c r="A894" s="71"/>
      <c r="B894" s="72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>
      <c r="A895" s="71"/>
      <c r="B895" s="72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>
      <c r="A896" s="71"/>
      <c r="B896" s="72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>
      <c r="A897" s="71"/>
      <c r="B897" s="72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>
      <c r="A898" s="71"/>
      <c r="B898" s="72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>
      <c r="A899" s="71"/>
      <c r="B899" s="72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>
      <c r="A900" s="71"/>
      <c r="B900" s="72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>
      <c r="A901" s="71"/>
      <c r="B901" s="72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>
      <c r="A902" s="71"/>
      <c r="B902" s="72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>
      <c r="A903" s="71"/>
      <c r="B903" s="72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>
      <c r="A904" s="71"/>
      <c r="B904" s="72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>
      <c r="A905" s="71"/>
      <c r="B905" s="72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>
      <c r="A906" s="71"/>
      <c r="B906" s="72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>
      <c r="A907" s="71"/>
      <c r="B907" s="72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>
      <c r="A908" s="71"/>
      <c r="B908" s="72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>
      <c r="A909" s="71"/>
      <c r="B909" s="72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>
      <c r="A910" s="71"/>
      <c r="B910" s="72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>
      <c r="A911" s="71"/>
      <c r="B911" s="72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>
      <c r="A912" s="71"/>
      <c r="B912" s="72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>
      <c r="A913" s="71"/>
      <c r="B913" s="72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>
      <c r="A914" s="71"/>
      <c r="B914" s="72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>
      <c r="A915" s="71"/>
      <c r="B915" s="72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>
      <c r="A916" s="71"/>
      <c r="B916" s="72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>
      <c r="A917" s="71"/>
      <c r="B917" s="72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>
      <c r="A918" s="71"/>
      <c r="B918" s="72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>
      <c r="A919" s="71"/>
      <c r="B919" s="72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>
      <c r="A920" s="71"/>
      <c r="B920" s="72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>
      <c r="A921" s="71"/>
      <c r="B921" s="72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>
      <c r="A922" s="71"/>
      <c r="B922" s="72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>
      <c r="A923" s="71"/>
      <c r="B923" s="72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>
      <c r="A924" s="71"/>
      <c r="B924" s="72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>
      <c r="A925" s="71"/>
      <c r="B925" s="72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>
      <c r="A926" s="71"/>
      <c r="B926" s="72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>
      <c r="A927" s="71"/>
      <c r="B927" s="72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>
      <c r="A928" s="71"/>
      <c r="B928" s="72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>
      <c r="A929" s="71"/>
      <c r="B929" s="72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>
      <c r="A930" s="71"/>
      <c r="B930" s="72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>
      <c r="A931" s="71"/>
      <c r="B931" s="72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>
      <c r="A932" s="71"/>
      <c r="B932" s="72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>
      <c r="A933" s="71"/>
      <c r="B933" s="72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>
      <c r="A934" s="71"/>
      <c r="B934" s="72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>
      <c r="A935" s="71"/>
      <c r="B935" s="72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>
      <c r="A936" s="71"/>
      <c r="B936" s="72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>
      <c r="A937" s="71"/>
      <c r="B937" s="72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>
      <c r="A938" s="71"/>
      <c r="B938" s="72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>
      <c r="A939" s="71"/>
      <c r="B939" s="72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>
      <c r="A940" s="71"/>
      <c r="B940" s="72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>
      <c r="A941" s="71"/>
      <c r="B941" s="72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>
      <c r="A942" s="71"/>
      <c r="B942" s="72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>
      <c r="A943" s="71"/>
      <c r="B943" s="72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>
      <c r="A944" s="71"/>
      <c r="B944" s="72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>
      <c r="A945" s="71"/>
      <c r="B945" s="72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>
      <c r="A946" s="71"/>
      <c r="B946" s="72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>
      <c r="A947" s="71"/>
      <c r="B947" s="72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>
      <c r="A948" s="71"/>
      <c r="B948" s="72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>
      <c r="A949" s="71"/>
      <c r="B949" s="72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>
      <c r="A950" s="71"/>
      <c r="B950" s="72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>
      <c r="A951" s="71"/>
      <c r="B951" s="72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>
      <c r="A952" s="71"/>
      <c r="B952" s="72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>
      <c r="A953" s="71"/>
      <c r="B953" s="72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>
      <c r="A954" s="71"/>
      <c r="B954" s="72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>
      <c r="A955" s="71"/>
      <c r="B955" s="72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>
      <c r="A956" s="71"/>
      <c r="B956" s="72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>
      <c r="A957" s="71"/>
      <c r="B957" s="72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>
      <c r="A958" s="71"/>
      <c r="B958" s="72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>
      <c r="A959" s="71"/>
      <c r="B959" s="72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>
      <c r="A960" s="71"/>
      <c r="B960" s="72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>
      <c r="A961" s="71"/>
      <c r="B961" s="72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>
      <c r="A962" s="71"/>
      <c r="B962" s="72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>
      <c r="A963" s="71"/>
      <c r="B963" s="72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>
      <c r="A964" s="71"/>
      <c r="B964" s="72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>
      <c r="A965" s="71"/>
      <c r="B965" s="72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>
      <c r="A966" s="71"/>
      <c r="B966" s="72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>
      <c r="A967" s="71"/>
      <c r="B967" s="72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>
      <c r="A968" s="71"/>
      <c r="B968" s="72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>
      <c r="A969" s="71"/>
      <c r="B969" s="72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>
      <c r="A970" s="71"/>
      <c r="B970" s="72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>
      <c r="A971" s="71"/>
      <c r="B971" s="72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>
      <c r="A972" s="71"/>
      <c r="B972" s="72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>
      <c r="A973" s="71"/>
      <c r="B973" s="72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>
      <c r="A974" s="71"/>
      <c r="B974" s="72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>
      <c r="A975" s="71"/>
      <c r="B975" s="72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>
      <c r="A976" s="71"/>
      <c r="B976" s="72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>
      <c r="A977" s="71"/>
      <c r="B977" s="72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>
      <c r="A978" s="71"/>
      <c r="B978" s="72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>
      <c r="A979" s="71"/>
      <c r="B979" s="72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>
      <c r="A980" s="71"/>
      <c r="B980" s="72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>
      <c r="A981" s="71"/>
      <c r="B981" s="72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>
      <c r="A982" s="71"/>
      <c r="B982" s="72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>
      <c r="A983" s="71"/>
      <c r="B983" s="72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>
      <c r="A984" s="71"/>
      <c r="B984" s="72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>
      <c r="A985" s="71"/>
      <c r="B985" s="72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>
      <c r="A986" s="71"/>
      <c r="B986" s="72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>
      <c r="A987" s="71"/>
      <c r="B987" s="72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>
      <c r="A988" s="71"/>
      <c r="B988" s="72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>
      <c r="A989" s="71"/>
      <c r="B989" s="72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>
      <c r="A990" s="71"/>
      <c r="B990" s="72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>
      <c r="A991" s="71"/>
      <c r="B991" s="72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>
      <c r="A992" s="71"/>
      <c r="B992" s="72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>
      <c r="A993" s="71"/>
      <c r="B993" s="72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>
      <c r="A994" s="71"/>
      <c r="B994" s="72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>
      <c r="A995" s="71"/>
      <c r="B995" s="72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>
      <c r="A996" s="71"/>
      <c r="B996" s="72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>
      <c r="A997" s="71"/>
      <c r="B997" s="72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>
      <c r="A998" s="71"/>
      <c r="B998" s="72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</cols>
  <sheetData>
    <row r="1">
      <c r="A1" s="74" t="s">
        <v>121</v>
      </c>
      <c r="B1" s="75" t="s">
        <v>78</v>
      </c>
      <c r="C1" s="75" t="s">
        <v>122</v>
      </c>
      <c r="D1" s="75" t="s">
        <v>123</v>
      </c>
    </row>
    <row r="2">
      <c r="A2" s="76"/>
      <c r="B2" s="77"/>
      <c r="C2" s="77"/>
      <c r="D2" s="77"/>
    </row>
    <row r="3">
      <c r="A3" s="76"/>
      <c r="B3" s="77"/>
      <c r="C3" s="77"/>
      <c r="D3" s="77"/>
    </row>
    <row r="4">
      <c r="A4" s="76"/>
      <c r="B4" s="77"/>
      <c r="C4" s="77"/>
      <c r="D4" s="77"/>
    </row>
    <row r="5">
      <c r="A5" s="76"/>
      <c r="B5" s="77"/>
      <c r="C5" s="77"/>
      <c r="D5" s="77"/>
    </row>
    <row r="6">
      <c r="A6" s="76"/>
      <c r="B6" s="77"/>
      <c r="C6" s="77"/>
      <c r="D6" s="77"/>
    </row>
    <row r="7">
      <c r="A7" s="76"/>
      <c r="B7" s="77"/>
      <c r="C7" s="77"/>
      <c r="D7" s="77"/>
    </row>
    <row r="8">
      <c r="A8" s="76"/>
      <c r="B8" s="77"/>
      <c r="C8" s="77"/>
      <c r="D8" s="77"/>
    </row>
    <row r="9">
      <c r="A9" s="76"/>
      <c r="B9" s="77"/>
      <c r="C9" s="77"/>
      <c r="D9" s="77"/>
    </row>
    <row r="10">
      <c r="A10" s="76"/>
      <c r="B10" s="77"/>
      <c r="C10" s="77"/>
      <c r="D10" s="77"/>
    </row>
    <row r="11">
      <c r="A11" s="76"/>
      <c r="B11" s="77"/>
      <c r="C11" s="77"/>
      <c r="D11" s="77"/>
    </row>
    <row r="12">
      <c r="A12" s="76"/>
      <c r="B12" s="77"/>
      <c r="C12" s="77"/>
      <c r="D12" s="77"/>
    </row>
    <row r="13">
      <c r="A13" s="76"/>
      <c r="B13" s="77"/>
      <c r="C13" s="77"/>
      <c r="D13" s="77"/>
    </row>
    <row r="14">
      <c r="A14" s="76"/>
      <c r="B14" s="77"/>
      <c r="C14" s="77"/>
      <c r="D14" s="77"/>
    </row>
    <row r="15">
      <c r="A15" s="76"/>
      <c r="B15" s="77"/>
      <c r="C15" s="77"/>
      <c r="D15" s="77"/>
    </row>
    <row r="16">
      <c r="A16" s="76"/>
      <c r="B16" s="77"/>
      <c r="C16" s="77"/>
      <c r="D16" s="77"/>
    </row>
    <row r="17">
      <c r="A17" s="76"/>
      <c r="B17" s="77"/>
      <c r="C17" s="77"/>
      <c r="D17" s="77"/>
    </row>
    <row r="18">
      <c r="A18" s="78"/>
      <c r="B18" s="79">
        <f t="shared" ref="B18:D18" si="1">SUM(B2:B17)</f>
        <v>0</v>
      </c>
      <c r="C18" s="79">
        <f t="shared" si="1"/>
        <v>0</v>
      </c>
      <c r="D18" s="79">
        <f t="shared" si="1"/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7" width="12.88"/>
  </cols>
  <sheetData>
    <row r="1">
      <c r="A1" s="80"/>
      <c r="B1" s="80" t="s">
        <v>124</v>
      </c>
      <c r="C1" s="80" t="s">
        <v>125</v>
      </c>
      <c r="D1" s="80" t="s">
        <v>126</v>
      </c>
      <c r="E1" s="80" t="s">
        <v>127</v>
      </c>
      <c r="F1" s="80" t="s">
        <v>128</v>
      </c>
      <c r="G1" s="80" t="s">
        <v>129</v>
      </c>
      <c r="H1" s="80" t="s">
        <v>130</v>
      </c>
      <c r="I1" s="80" t="s">
        <v>131</v>
      </c>
      <c r="J1" s="80" t="s">
        <v>132</v>
      </c>
      <c r="K1" s="80" t="s">
        <v>133</v>
      </c>
      <c r="L1" s="80" t="s">
        <v>134</v>
      </c>
      <c r="M1" s="80" t="s">
        <v>135</v>
      </c>
      <c r="O1" s="81"/>
    </row>
    <row r="2">
      <c r="A2" s="80" t="s">
        <v>136</v>
      </c>
      <c r="B2" s="80" t="s">
        <v>137</v>
      </c>
      <c r="C2" s="80" t="s">
        <v>137</v>
      </c>
      <c r="D2" s="80" t="s">
        <v>137</v>
      </c>
      <c r="E2" s="80" t="s">
        <v>137</v>
      </c>
      <c r="F2" s="80" t="s">
        <v>137</v>
      </c>
      <c r="G2" s="80" t="s">
        <v>137</v>
      </c>
      <c r="H2" s="80" t="s">
        <v>137</v>
      </c>
      <c r="I2" s="80" t="s">
        <v>137</v>
      </c>
      <c r="J2" s="80" t="s">
        <v>137</v>
      </c>
      <c r="K2" s="80" t="s">
        <v>137</v>
      </c>
      <c r="L2" s="80" t="s">
        <v>137</v>
      </c>
      <c r="M2" s="80" t="s">
        <v>137</v>
      </c>
      <c r="O2" s="81"/>
    </row>
    <row r="3">
      <c r="A3" s="82" t="s">
        <v>138</v>
      </c>
      <c r="B3" s="11">
        <v>475.0</v>
      </c>
      <c r="C3" s="11">
        <v>402.0</v>
      </c>
      <c r="D3" s="11">
        <v>442.0</v>
      </c>
      <c r="E3" s="11">
        <v>463.0</v>
      </c>
      <c r="F3" s="11">
        <v>452.0</v>
      </c>
      <c r="G3" s="83"/>
      <c r="H3" s="11"/>
      <c r="I3" s="11"/>
      <c r="J3" s="11"/>
      <c r="K3" s="83"/>
      <c r="L3" s="83"/>
      <c r="M3" s="83"/>
      <c r="O3" s="81"/>
    </row>
    <row r="4">
      <c r="A4" s="82" t="s">
        <v>139</v>
      </c>
      <c r="B4" s="11">
        <v>4.0</v>
      </c>
      <c r="C4" s="11">
        <v>8.0</v>
      </c>
      <c r="D4" s="11">
        <v>13.0</v>
      </c>
      <c r="E4" s="11">
        <v>4.0</v>
      </c>
      <c r="F4" s="11">
        <v>2.0</v>
      </c>
      <c r="G4" s="83"/>
      <c r="H4" s="11"/>
      <c r="I4" s="11"/>
      <c r="J4" s="11"/>
      <c r="K4" s="83"/>
      <c r="L4" s="83"/>
      <c r="M4" s="83"/>
      <c r="O4" s="81"/>
    </row>
    <row r="5">
      <c r="A5" s="82" t="s">
        <v>140</v>
      </c>
      <c r="B5" s="11">
        <v>5083.0</v>
      </c>
      <c r="C5" s="11">
        <v>4936.0</v>
      </c>
      <c r="D5" s="11">
        <v>4040.0</v>
      </c>
      <c r="E5" s="11">
        <v>4473.0</v>
      </c>
      <c r="F5" s="11">
        <v>4553.0</v>
      </c>
      <c r="G5" s="83"/>
      <c r="H5" s="11"/>
      <c r="I5" s="11"/>
      <c r="J5" s="11"/>
      <c r="K5" s="83"/>
      <c r="L5" s="83"/>
      <c r="M5" s="83"/>
      <c r="O5" s="81"/>
    </row>
    <row r="6">
      <c r="A6" s="82" t="s">
        <v>141</v>
      </c>
      <c r="B6" s="11">
        <v>77.0</v>
      </c>
      <c r="C6" s="11">
        <v>67.0</v>
      </c>
      <c r="D6" s="11">
        <v>47.0</v>
      </c>
      <c r="E6" s="11">
        <v>58.0</v>
      </c>
      <c r="F6" s="11">
        <v>50.0</v>
      </c>
      <c r="G6" s="83"/>
      <c r="H6" s="11"/>
      <c r="I6" s="11"/>
      <c r="J6" s="11"/>
      <c r="K6" s="83"/>
      <c r="L6" s="83"/>
      <c r="M6" s="83"/>
      <c r="O6" s="81"/>
    </row>
    <row r="7">
      <c r="A7" s="80" t="s">
        <v>18</v>
      </c>
      <c r="B7" s="80">
        <f t="shared" ref="B7:M7" si="1">SUM(B3:B6)</f>
        <v>5639</v>
      </c>
      <c r="C7" s="80">
        <f t="shared" si="1"/>
        <v>5413</v>
      </c>
      <c r="D7" s="80">
        <f t="shared" si="1"/>
        <v>4542</v>
      </c>
      <c r="E7" s="80">
        <f t="shared" si="1"/>
        <v>4998</v>
      </c>
      <c r="F7" s="80">
        <f t="shared" si="1"/>
        <v>5057</v>
      </c>
      <c r="G7" s="80">
        <f t="shared" si="1"/>
        <v>0</v>
      </c>
      <c r="H7" s="80">
        <f t="shared" si="1"/>
        <v>0</v>
      </c>
      <c r="I7" s="80">
        <f t="shared" si="1"/>
        <v>0</v>
      </c>
      <c r="J7" s="80">
        <f t="shared" si="1"/>
        <v>0</v>
      </c>
      <c r="K7" s="80">
        <f t="shared" si="1"/>
        <v>0</v>
      </c>
      <c r="L7" s="80">
        <f t="shared" si="1"/>
        <v>0</v>
      </c>
      <c r="M7" s="80">
        <f t="shared" si="1"/>
        <v>0</v>
      </c>
      <c r="O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</row>
    <row r="10">
      <c r="B10" s="80" t="s">
        <v>124</v>
      </c>
      <c r="C10" s="80" t="s">
        <v>125</v>
      </c>
      <c r="D10" s="80" t="s">
        <v>126</v>
      </c>
      <c r="E10" s="80" t="s">
        <v>127</v>
      </c>
      <c r="F10" s="80" t="s">
        <v>128</v>
      </c>
      <c r="G10" s="80" t="s">
        <v>129</v>
      </c>
      <c r="H10" s="80" t="s">
        <v>130</v>
      </c>
      <c r="I10" s="80" t="s">
        <v>131</v>
      </c>
      <c r="J10" s="80" t="s">
        <v>132</v>
      </c>
      <c r="K10" s="80" t="s">
        <v>133</v>
      </c>
      <c r="L10" s="80" t="s">
        <v>134</v>
      </c>
      <c r="M10" s="80" t="s">
        <v>135</v>
      </c>
      <c r="N10" s="81"/>
      <c r="O10" s="81"/>
    </row>
    <row r="11">
      <c r="A11" s="80" t="s">
        <v>136</v>
      </c>
      <c r="B11" s="80" t="s">
        <v>142</v>
      </c>
      <c r="C11" s="80" t="s">
        <v>142</v>
      </c>
      <c r="D11" s="80" t="s">
        <v>142</v>
      </c>
      <c r="E11" s="80" t="s">
        <v>142</v>
      </c>
      <c r="F11" s="80" t="s">
        <v>142</v>
      </c>
      <c r="G11" s="80" t="s">
        <v>142</v>
      </c>
      <c r="H11" s="80" t="s">
        <v>142</v>
      </c>
      <c r="I11" s="80" t="s">
        <v>142</v>
      </c>
      <c r="J11" s="80" t="s">
        <v>142</v>
      </c>
      <c r="K11" s="80" t="s">
        <v>142</v>
      </c>
      <c r="L11" s="80" t="s">
        <v>142</v>
      </c>
      <c r="M11" s="80" t="s">
        <v>142</v>
      </c>
      <c r="N11" s="81"/>
      <c r="O11" s="81"/>
    </row>
    <row r="12">
      <c r="A12" s="82" t="s">
        <v>138</v>
      </c>
      <c r="B12" s="16">
        <v>3579.0</v>
      </c>
      <c r="C12" s="16">
        <v>3122.0</v>
      </c>
      <c r="D12" s="16">
        <v>3197.0</v>
      </c>
      <c r="E12" s="16">
        <v>3218.0</v>
      </c>
      <c r="F12" s="16">
        <v>3317.0</v>
      </c>
      <c r="G12" s="83"/>
      <c r="H12" s="11"/>
      <c r="I12" s="11"/>
      <c r="J12" s="11"/>
      <c r="K12" s="83"/>
      <c r="L12" s="83"/>
      <c r="M12" s="83"/>
      <c r="N12" s="81"/>
      <c r="O12" s="81"/>
    </row>
    <row r="13">
      <c r="A13" s="82" t="s">
        <v>139</v>
      </c>
      <c r="B13" s="11">
        <v>141.0</v>
      </c>
      <c r="C13" s="11">
        <v>241.0</v>
      </c>
      <c r="D13" s="11">
        <v>413.0</v>
      </c>
      <c r="E13" s="11">
        <v>81.0</v>
      </c>
      <c r="F13" s="11">
        <v>30.0</v>
      </c>
      <c r="G13" s="83"/>
      <c r="H13" s="11"/>
      <c r="I13" s="11"/>
      <c r="J13" s="11"/>
      <c r="K13" s="83"/>
      <c r="L13" s="83"/>
      <c r="M13" s="83"/>
      <c r="N13" s="81"/>
      <c r="O13" s="81"/>
    </row>
    <row r="14">
      <c r="A14" s="82" t="s">
        <v>140</v>
      </c>
      <c r="B14" s="16">
        <v>18019.0</v>
      </c>
      <c r="C14" s="16">
        <v>18236.0</v>
      </c>
      <c r="D14" s="16">
        <v>15098.0</v>
      </c>
      <c r="E14" s="16">
        <v>14711.0</v>
      </c>
      <c r="F14" s="16">
        <v>15486.0</v>
      </c>
      <c r="G14" s="83"/>
      <c r="H14" s="11"/>
      <c r="I14" s="11"/>
      <c r="J14" s="11"/>
      <c r="K14" s="83"/>
      <c r="L14" s="83"/>
      <c r="M14" s="83"/>
      <c r="N14" s="81"/>
      <c r="O14" s="81"/>
    </row>
    <row r="15">
      <c r="A15" s="82" t="s">
        <v>141</v>
      </c>
      <c r="B15" s="16">
        <v>2838.0</v>
      </c>
      <c r="C15" s="16">
        <v>2381.0</v>
      </c>
      <c r="D15" s="16">
        <v>1412.0</v>
      </c>
      <c r="E15" s="16">
        <v>1615.0</v>
      </c>
      <c r="F15" s="16">
        <v>1262.0</v>
      </c>
      <c r="G15" s="83"/>
      <c r="H15" s="11"/>
      <c r="I15" s="11"/>
      <c r="J15" s="11"/>
      <c r="K15" s="83"/>
      <c r="L15" s="83"/>
      <c r="M15" s="83"/>
      <c r="N15" s="81"/>
      <c r="O15" s="81"/>
    </row>
    <row r="16">
      <c r="A16" s="80" t="s">
        <v>18</v>
      </c>
      <c r="B16" s="84">
        <f t="shared" ref="B16:M16" si="2">SUM(B12:B15)</f>
        <v>24577</v>
      </c>
      <c r="C16" s="84">
        <f t="shared" si="2"/>
        <v>23980</v>
      </c>
      <c r="D16" s="84">
        <f t="shared" si="2"/>
        <v>20120</v>
      </c>
      <c r="E16" s="84">
        <f t="shared" si="2"/>
        <v>19625</v>
      </c>
      <c r="F16" s="84">
        <f t="shared" si="2"/>
        <v>20095</v>
      </c>
      <c r="G16" s="80">
        <f t="shared" si="2"/>
        <v>0</v>
      </c>
      <c r="H16" s="80">
        <f t="shared" si="2"/>
        <v>0</v>
      </c>
      <c r="I16" s="80">
        <f t="shared" si="2"/>
        <v>0</v>
      </c>
      <c r="J16" s="80">
        <f t="shared" si="2"/>
        <v>0</v>
      </c>
      <c r="K16" s="80">
        <f t="shared" si="2"/>
        <v>0</v>
      </c>
      <c r="L16" s="80">
        <f t="shared" si="2"/>
        <v>0</v>
      </c>
      <c r="M16" s="80">
        <f t="shared" si="2"/>
        <v>0</v>
      </c>
      <c r="N16" s="81"/>
      <c r="O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</row>
    <row r="1001">
      <c r="A1001" s="81"/>
      <c r="B1001" s="81"/>
      <c r="C1001" s="81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</row>
  </sheetData>
  <drawing r:id="rId1"/>
</worksheet>
</file>