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 de PGN" sheetId="1" r:id="rId4"/>
    <sheet state="visible" name="altas de UPP" sheetId="2" r:id="rId5"/>
    <sheet state="visible" name="altas de PSG" sheetId="3" r:id="rId6"/>
    <sheet state="visible" name="ACTUALIZACIONES DE UPP " sheetId="4" r:id="rId7"/>
    <sheet state="visible" name="Inventario Otras Especies" sheetId="5" r:id="rId8"/>
    <sheet state="visible" name="Atención UPP Por Especie" sheetId="6" r:id="rId9"/>
    <sheet state="visible" name="Identificadores Capturados" sheetId="7" r:id="rId10"/>
    <sheet state="visible" name="Barrido" sheetId="8" r:id="rId11"/>
    <sheet state="visible" name="Prestadores de Servicios Ganade" sheetId="9" r:id="rId12"/>
    <sheet state="visible" name="Identifiacores Recuperados en R" sheetId="10" r:id="rId13"/>
    <sheet state="visible" name="Identific. Ord. Matanza Docs CO" sheetId="11" r:id="rId14"/>
    <sheet state="visible" name="identificadores disponibles" sheetId="12" r:id="rId15"/>
    <sheet state="visible" name="informe individua TIA" sheetId="13" r:id="rId16"/>
    <sheet state="visible" name="informe individua PIA" sheetId="14" r:id="rId17"/>
    <sheet state="visible" name="INFORME REEMO" sheetId="15" r:id="rId18"/>
  </sheets>
  <definedNames/>
  <calcPr/>
</workbook>
</file>

<file path=xl/sharedStrings.xml><?xml version="1.0" encoding="utf-8"?>
<sst xmlns="http://schemas.openxmlformats.org/spreadsheetml/2006/main" count="271" uniqueCount="174">
  <si>
    <t>Servicios</t>
  </si>
  <si>
    <t>Unidades de Producción Pecuaria</t>
  </si>
  <si>
    <t>Prestadores de Servicios Ganaderos</t>
  </si>
  <si>
    <t>Poseedores de
 Équidos</t>
  </si>
  <si>
    <t>Poseedores de 
Ganado</t>
  </si>
  <si>
    <t>(Registros PGN)</t>
  </si>
  <si>
    <t>(UPP)</t>
  </si>
  <si>
    <t>(PSG)</t>
  </si>
  <si>
    <t>(PG)</t>
  </si>
  <si>
    <t>Altas</t>
  </si>
  <si>
    <t>Actualizaciones</t>
  </si>
  <si>
    <t>Total</t>
  </si>
  <si>
    <t>VENTANILLA</t>
  </si>
  <si>
    <t>Acumulado</t>
  </si>
  <si>
    <t>VAS YUCATAN</t>
  </si>
  <si>
    <t>TOTAL</t>
  </si>
  <si>
    <t>Especie</t>
  </si>
  <si>
    <t>Inventario Altas</t>
  </si>
  <si>
    <t>Inventario Act</t>
  </si>
  <si>
    <t>Bovinos</t>
  </si>
  <si>
    <t>Ovinos</t>
  </si>
  <si>
    <t>Caprinos</t>
  </si>
  <si>
    <t>Colmenas</t>
  </si>
  <si>
    <t>UPP Vigentes</t>
  </si>
  <si>
    <t>UPP Suspendidas</t>
  </si>
  <si>
    <t>UPP Actualizadas</t>
  </si>
  <si>
    <t>% Avance</t>
  </si>
  <si>
    <t>Mes</t>
  </si>
  <si>
    <t>Identificadores Solicitados</t>
  </si>
  <si>
    <t>Identificadores Entregados</t>
  </si>
  <si>
    <t>identificadores devueltos</t>
  </si>
  <si>
    <t>Identificadores Capturados</t>
  </si>
  <si>
    <t>% AVANCE</t>
  </si>
  <si>
    <t>Actividad</t>
  </si>
  <si>
    <t>Tipo</t>
  </si>
  <si>
    <t>Histórico</t>
  </si>
  <si>
    <t>Con Opinion positiva</t>
  </si>
  <si>
    <t>Proceso concluido</t>
  </si>
  <si>
    <t>Nuevo ingreso (2025)</t>
  </si>
  <si>
    <t>Engordador</t>
  </si>
  <si>
    <t>P01</t>
  </si>
  <si>
    <t>Acopiador</t>
  </si>
  <si>
    <t>P02</t>
  </si>
  <si>
    <t>Establecimiento de sacrificio</t>
  </si>
  <si>
    <t>P03</t>
  </si>
  <si>
    <t>Comercializadoras</t>
  </si>
  <si>
    <t>P05</t>
  </si>
  <si>
    <t>Ferias y Exposiciones</t>
  </si>
  <si>
    <t>P08</t>
  </si>
  <si>
    <t>Acopiador de productos y subproductos</t>
  </si>
  <si>
    <t>P09</t>
  </si>
  <si>
    <t>Introductor de Ganado</t>
  </si>
  <si>
    <t>P10</t>
  </si>
  <si>
    <t>Predio de Repasto</t>
  </si>
  <si>
    <t>P14</t>
  </si>
  <si>
    <t>Corrales de Acopio para Exportación</t>
  </si>
  <si>
    <t>P17</t>
  </si>
  <si>
    <t>Organizaciones Ganaderas</t>
  </si>
  <si>
    <t>P18</t>
  </si>
  <si>
    <t>Subasta Ganadera</t>
  </si>
  <si>
    <t>P19</t>
  </si>
  <si>
    <t>Totales</t>
  </si>
  <si>
    <t>RASTRO 2025</t>
  </si>
  <si>
    <t>total</t>
  </si>
  <si>
    <t>TOTALES</t>
  </si>
  <si>
    <t>MES</t>
  </si>
  <si>
    <t>ID RECUPERADOS</t>
  </si>
  <si>
    <t>ÓRDENES DE MATANZA</t>
  </si>
  <si>
    <t>DOCUMENTADOS CON REEMO</t>
  </si>
  <si>
    <t>VAS</t>
  </si>
  <si>
    <t>Oriente</t>
  </si>
  <si>
    <t>FECHA</t>
  </si>
  <si>
    <t>21/10/2025</t>
  </si>
  <si>
    <t>BOVINO</t>
  </si>
  <si>
    <t>OVINO</t>
  </si>
  <si>
    <t>CAPRINO</t>
  </si>
  <si>
    <t>COLMENA</t>
  </si>
  <si>
    <t>CLAVE</t>
  </si>
  <si>
    <t>TECNICO IDENTIFICADOR AUTORIZADO</t>
  </si>
  <si>
    <t>UPP</t>
  </si>
  <si>
    <t>IDS</t>
  </si>
  <si>
    <t>DEVUELTOS</t>
  </si>
  <si>
    <t>19595</t>
  </si>
  <si>
    <t>DAVID FRANCISCO MAY CUITUN</t>
  </si>
  <si>
    <t>19597</t>
  </si>
  <si>
    <t>DELMY NAYELLI ANDRADE MADERA</t>
  </si>
  <si>
    <t>19598</t>
  </si>
  <si>
    <t>FELIPE ROSENDO MAGAÑA JIMENEZ</t>
  </si>
  <si>
    <t>20740</t>
  </si>
  <si>
    <t>JOSE AUGUSTO VIVAS ALCOCER</t>
  </si>
  <si>
    <t>20878</t>
  </si>
  <si>
    <t>SANTIAGO MAURICIO MONTEJO CAAMAL</t>
  </si>
  <si>
    <t>SALOMON JESUS LIRA OCHOA</t>
  </si>
  <si>
    <t>25740</t>
  </si>
  <si>
    <t>PEDRO PABLO BRICEÑO CERVERA</t>
  </si>
  <si>
    <t>29020</t>
  </si>
  <si>
    <t>ANDRES YOVANNY HUCHIM DZUL</t>
  </si>
  <si>
    <t>29021</t>
  </si>
  <si>
    <t>PEDRO ADRIAN ESCAMILLA  CORREA</t>
  </si>
  <si>
    <t>29029</t>
  </si>
  <si>
    <t>RICARDO RACIEL CHUC PECH</t>
  </si>
  <si>
    <t>29030</t>
  </si>
  <si>
    <t>JOSE ESTEBAN SALAZAR MATOS</t>
  </si>
  <si>
    <t>29034</t>
  </si>
  <si>
    <t>PATRICIA DEL ROCIO MENA SALAS</t>
  </si>
  <si>
    <t>29035</t>
  </si>
  <si>
    <t>JORGE ARTURO CORAL GAMBOA</t>
  </si>
  <si>
    <t>FELIX FRANCISCO POOT TEP</t>
  </si>
  <si>
    <t xml:space="preserve"> HERBERTH RENE TZAB NAVARRO</t>
  </si>
  <si>
    <t>GILBERTO ANTONIO PUCH MAGAÑA</t>
  </si>
  <si>
    <t>JUAN GABRIEL CANCHE ESTRELLA</t>
  </si>
  <si>
    <t>37785</t>
  </si>
  <si>
    <t>BERNIE ABIEZER ALVARADO MAY</t>
  </si>
  <si>
    <t>38956</t>
  </si>
  <si>
    <t>CRUZ FELIPE CHAN COUOH</t>
  </si>
  <si>
    <t>38957</t>
  </si>
  <si>
    <t>GABRIEL ALBERTO ISAAC GREGOR</t>
  </si>
  <si>
    <t>VICTOR HERNANDEZ SOLORIO</t>
  </si>
  <si>
    <t>42117</t>
  </si>
  <si>
    <t>ALFREDO MELCHOR MORALES VÁZQUEZ</t>
  </si>
  <si>
    <t>42118</t>
  </si>
  <si>
    <t>NADIA SAMANTA CAUICH CANCHE</t>
  </si>
  <si>
    <t>42119</t>
  </si>
  <si>
    <t>CARLOS MANUEL UITZIL UUH</t>
  </si>
  <si>
    <t>42120</t>
  </si>
  <si>
    <t>RODRIGO EMANUEL NOH PUCH</t>
  </si>
  <si>
    <t>47642</t>
  </si>
  <si>
    <t>JOSE ARTURO DZUL GARCIA</t>
  </si>
  <si>
    <t>47643</t>
  </si>
  <si>
    <t>JUANA HERNANDEZ GARCIA</t>
  </si>
  <si>
    <t>47644</t>
  </si>
  <si>
    <t>MELINA FERNANDA VIDAL GONZAGA</t>
  </si>
  <si>
    <t>NEFTALY CATALINO HERRERA  UICAB</t>
  </si>
  <si>
    <t xml:space="preserve"> EDGAR RUBEN  RODRIGUEZ MARTINEZ</t>
  </si>
  <si>
    <t>GENARO RUBEN POOL CHI</t>
  </si>
  <si>
    <t>ROSENDO MADRID MORALES</t>
  </si>
  <si>
    <t>MARIO ANTONIO BALAM MONTEJO</t>
  </si>
  <si>
    <t>GASPAR ALEJANDRO MAY CEN</t>
  </si>
  <si>
    <t>PRODUCTOR IDENTIFICADOR AUTORIZADO</t>
  </si>
  <si>
    <t>24532 HEBERTO MANUEL AVILA MAGAÑA</t>
  </si>
  <si>
    <t>24533 HERMINIA ESTHER QUIJANO GONGORA</t>
  </si>
  <si>
    <t>24539 MARIO ALBERTO DUARTE LOPEZ</t>
  </si>
  <si>
    <t>29036 JOSE RAMON GLORY MORALES</t>
  </si>
  <si>
    <t>31051 JORGE CARLOS PUC DZUL</t>
  </si>
  <si>
    <t>31052 ALVAR ROBERTO ESQUIVEL PEREZ</t>
  </si>
  <si>
    <t>31055 DIANA MARIA MENDEZ CACERES</t>
  </si>
  <si>
    <t>31058 RICARDO GARY VALLE</t>
  </si>
  <si>
    <t>31059 BENJAMIN HUMBERTO ESQUIVEL PEREZ</t>
  </si>
  <si>
    <t>31062 ALBERTO YAÑEZ CASTRO</t>
  </si>
  <si>
    <t>31064 WILLIAM CANUL CASTRO</t>
  </si>
  <si>
    <t>33530 SOLEDAD GENOVEVA GIJON MAGAÑA</t>
  </si>
  <si>
    <t>38992 JOSE ALBERTO ERALES VILLAMIL</t>
  </si>
  <si>
    <t>38995 EDUARDO ARRIGUNAGA GUTIERREZ</t>
  </si>
  <si>
    <t>655 DELIO GUSTAVO CASTILLO WISSMANN</t>
  </si>
  <si>
    <t>31061 JESUS MANUEL HERNANDEZ HERNANDEZ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</si>
  <si>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</si>
  <si>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</si>
  <si>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</si>
  <si>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</si>
  <si>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</si>
  <si>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</si>
  <si>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</si>
  <si>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</si>
  <si>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</si>
  <si>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</si>
  <si>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</si>
  <si>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</si>
  <si>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Destino</t>
  </si>
  <si>
    <t>Guias Realizadas</t>
  </si>
  <si>
    <t>1. Rastro en Yucatán</t>
  </si>
  <si>
    <t>2. Rastro Fuera del Estado</t>
  </si>
  <si>
    <t>3. UPP/PSG en el Estado</t>
  </si>
  <si>
    <t>4. UPP/PSG Fuera del Estado</t>
  </si>
  <si>
    <t>Cabezas Movilizadas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</si>
</sst>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"/>
  </numFmts>
  <fonts count="19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sz val="12.0"/>
      <color rgb="FF000000"/>
      <name val="Calibri"/>
    </font>
    <font>
      <sz val="12.0"/>
      <color theme="1"/>
      <name val="Arial"/>
      <scheme val="minor"/>
    </font>
    <font>
      <sz val="12.0"/>
      <color theme="1"/>
      <name val="Calibri"/>
    </font>
    <font>
      <b/>
      <sz val="12.0"/>
      <color rgb="FF000000"/>
      <name val="Calibri"/>
    </font>
    <font>
      <sz val="16.0"/>
      <color rgb="FF000000"/>
      <name val="Calibri"/>
    </font>
    <font>
      <b/>
      <sz val="13.0"/>
      <color rgb="FF000000"/>
      <name val="Calibri"/>
    </font>
    <font>
      <sz val="13.0"/>
      <color theme="1"/>
      <name val="Arial"/>
      <scheme val="minor"/>
    </font>
    <font>
      <sz val="13.0"/>
      <color rgb="FF000000"/>
      <name val="Calibri"/>
    </font>
    <font>
      <color theme="1"/>
      <name val="Arial"/>
      <scheme val="minor"/>
    </font>
    <font>
      <b/>
      <sz val="18.0"/>
      <color rgb="FF000000"/>
      <name val="Calibri"/>
    </font>
    <font>
      <sz val="18.0"/>
      <color rgb="FF000000"/>
      <name val="Calibri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0D0D0"/>
        <bgColor rgb="FFD0D0D0"/>
      </patternFill>
    </fill>
    <fill>
      <patternFill patternType="solid">
        <fgColor rgb="FFE8EBF5"/>
        <bgColor rgb="FFE8EB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6" numFmtId="0" xfId="0" applyFont="1"/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7" numFmtId="0" xfId="0" applyFont="1"/>
    <xf borderId="0" fillId="0" fontId="8" numFmtId="3" xfId="0" applyAlignment="1" applyFont="1" applyNumberFormat="1">
      <alignment horizontal="right" readingOrder="0"/>
    </xf>
    <xf borderId="0" fillId="0" fontId="8" numFmtId="164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right"/>
    </xf>
    <xf borderId="0" fillId="0" fontId="5" numFmtId="3" xfId="0" applyAlignment="1" applyFont="1" applyNumberFormat="1">
      <alignment horizontal="right"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3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3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right"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164" xfId="0" applyAlignment="1" applyFont="1" applyNumberFormat="1">
      <alignment horizontal="left" readingOrder="0"/>
    </xf>
    <xf borderId="0" fillId="0" fontId="5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0" fontId="9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9" xfId="0" applyAlignment="1" applyFont="1" applyNumberFormat="1">
      <alignment horizontal="center" readingOrder="0" shrinkToFit="0" vertical="center" wrapText="1"/>
    </xf>
    <xf borderId="0" fillId="0" fontId="12" numFmtId="3" xfId="0" applyAlignment="1" applyFont="1" applyNumberFormat="1">
      <alignment horizontal="center" readingOrder="0" shrinkToFit="0" vertical="center" wrapText="1"/>
    </xf>
    <xf borderId="0" fillId="0" fontId="10" numFmtId="3" xfId="0" applyAlignment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3" fontId="11" numFmtId="0" xfId="0" applyAlignment="1" applyFill="1" applyFont="1">
      <alignment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0" fontId="13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4" numFmtId="3" xfId="0" applyAlignment="1" applyFont="1" applyNumberFormat="1">
      <alignment horizontal="right" readingOrder="0"/>
    </xf>
    <xf borderId="0" fillId="4" fontId="16" numFmtId="0" xfId="0" applyAlignment="1" applyFill="1" applyFont="1">
      <alignment horizontal="center" vertical="bottom"/>
    </xf>
    <xf borderId="4" fillId="4" fontId="17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3" xfId="0" applyAlignment="1" applyFont="1" applyNumberFormat="1">
      <alignment horizontal="center" vertical="bottom"/>
    </xf>
    <xf borderId="0" fillId="0" fontId="18" numFmtId="0" xfId="0" applyAlignment="1" applyFont="1">
      <alignment vertical="bottom"/>
    </xf>
    <xf borderId="0" fillId="0" fontId="18" numFmtId="3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center" readingOrder="0"/>
    </xf>
    <xf borderId="0" fillId="5" fontId="13" numFmtId="0" xfId="0" applyAlignment="1" applyFill="1" applyFont="1">
      <alignment vertical="bottom"/>
    </xf>
    <xf borderId="0" fillId="0" fontId="2" numFmtId="3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1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88"/>
    <col customWidth="1" min="3" max="6" width="19.0"/>
    <col customWidth="1" min="7" max="26" width="13.13"/>
  </cols>
  <sheetData>
    <row r="1" ht="47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5</v>
      </c>
      <c r="C2" s="2" t="s">
        <v>6</v>
      </c>
      <c r="D2" s="2" t="s">
        <v>7</v>
      </c>
      <c r="E2" s="2" t="s">
        <v>8</v>
      </c>
      <c r="F2" s="2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45688.0</v>
      </c>
      <c r="B3" s="4" t="s">
        <v>9</v>
      </c>
      <c r="C3" s="5">
        <v>32.0</v>
      </c>
      <c r="D3" s="5">
        <v>3.0</v>
      </c>
      <c r="E3" s="5">
        <v>0.0</v>
      </c>
      <c r="F3" s="5">
        <v>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B4" s="7" t="s">
        <v>10</v>
      </c>
      <c r="C4" s="8">
        <v>756.0</v>
      </c>
      <c r="D4" s="8">
        <v>0.0</v>
      </c>
      <c r="E4" s="8">
        <v>0.0</v>
      </c>
      <c r="F4" s="8">
        <v>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45716.0</v>
      </c>
      <c r="B5" s="4" t="s">
        <v>9</v>
      </c>
      <c r="C5" s="5">
        <v>83.0</v>
      </c>
      <c r="D5" s="5">
        <v>6.0</v>
      </c>
      <c r="E5" s="5">
        <v>0.0</v>
      </c>
      <c r="F5" s="5">
        <v>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/>
      <c r="B6" s="7" t="s">
        <v>10</v>
      </c>
      <c r="C6" s="9">
        <v>1659.0</v>
      </c>
      <c r="D6" s="8">
        <v>7.0</v>
      </c>
      <c r="E6" s="8">
        <v>0.0</v>
      </c>
      <c r="F6" s="8">
        <v>0.0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45747.0</v>
      </c>
      <c r="B7" s="4" t="s">
        <v>9</v>
      </c>
      <c r="C7" s="5">
        <v>163.0</v>
      </c>
      <c r="D7" s="5">
        <v>8.0</v>
      </c>
      <c r="E7" s="5">
        <v>0.0</v>
      </c>
      <c r="F7" s="5">
        <v>0.0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7" t="s">
        <v>10</v>
      </c>
      <c r="C8" s="9">
        <v>2128.0</v>
      </c>
      <c r="D8" s="8">
        <v>0.0</v>
      </c>
      <c r="E8" s="8">
        <v>0.0</v>
      </c>
      <c r="F8" s="8">
        <v>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45777.0</v>
      </c>
      <c r="B9" s="4" t="s">
        <v>9</v>
      </c>
      <c r="C9" s="5">
        <v>237.0</v>
      </c>
      <c r="D9" s="5">
        <v>19.0</v>
      </c>
      <c r="E9" s="5">
        <v>0.0</v>
      </c>
      <c r="F9" s="5">
        <v>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B10" s="7" t="s">
        <v>10</v>
      </c>
      <c r="C10" s="9">
        <v>2846.0</v>
      </c>
      <c r="D10" s="8">
        <v>9.0</v>
      </c>
      <c r="E10" s="8">
        <v>0.0</v>
      </c>
      <c r="F10" s="8">
        <v>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45808.0</v>
      </c>
      <c r="B11" s="4" t="s">
        <v>9</v>
      </c>
      <c r="C11" s="5">
        <v>131.0</v>
      </c>
      <c r="D11" s="5">
        <v>2.0</v>
      </c>
      <c r="E11" s="5">
        <v>0.0</v>
      </c>
      <c r="F11" s="5">
        <v>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/>
      <c r="B12" s="7" t="s">
        <v>10</v>
      </c>
      <c r="C12" s="8">
        <v>944.0</v>
      </c>
      <c r="D12" s="8">
        <v>4.0</v>
      </c>
      <c r="E12" s="8">
        <v>0.0</v>
      </c>
      <c r="F12" s="8">
        <v>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45838.0</v>
      </c>
      <c r="B13" s="4" t="s">
        <v>9</v>
      </c>
      <c r="C13" s="5">
        <v>181.0</v>
      </c>
      <c r="D13" s="5">
        <v>2.0</v>
      </c>
      <c r="E13" s="5">
        <v>0.0</v>
      </c>
      <c r="F13" s="5">
        <v>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/>
      <c r="B14" s="7" t="s">
        <v>10</v>
      </c>
      <c r="C14" s="8">
        <v>1454.0</v>
      </c>
      <c r="D14" s="8">
        <v>0.0</v>
      </c>
      <c r="E14" s="8">
        <v>0.0</v>
      </c>
      <c r="F14" s="8">
        <v>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45869.0</v>
      </c>
      <c r="B15" s="4" t="s">
        <v>9</v>
      </c>
      <c r="C15" s="5">
        <v>38.0</v>
      </c>
      <c r="D15" s="5">
        <v>5.0</v>
      </c>
      <c r="E15" s="5">
        <v>0.0</v>
      </c>
      <c r="F15" s="5">
        <v>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/>
      <c r="B16" s="7" t="s">
        <v>10</v>
      </c>
      <c r="C16" s="8">
        <v>434.0</v>
      </c>
      <c r="D16" s="8">
        <v>0.0</v>
      </c>
      <c r="E16" s="8">
        <v>0.0</v>
      </c>
      <c r="F16" s="8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45900.0</v>
      </c>
      <c r="B17" s="4" t="s">
        <v>9</v>
      </c>
      <c r="C17" s="5">
        <v>60.0</v>
      </c>
      <c r="D17" s="5">
        <v>3.0</v>
      </c>
      <c r="E17" s="5">
        <v>0.0</v>
      </c>
      <c r="F17" s="5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/>
      <c r="B18" s="7" t="s">
        <v>10</v>
      </c>
      <c r="C18" s="8">
        <v>330.0</v>
      </c>
      <c r="D18" s="8">
        <v>2.0</v>
      </c>
      <c r="E18" s="8">
        <v>0.0</v>
      </c>
      <c r="F18" s="8">
        <v>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45930.0</v>
      </c>
      <c r="B19" s="4" t="s">
        <v>9</v>
      </c>
      <c r="C19" s="5">
        <v>77.0</v>
      </c>
      <c r="D19" s="5">
        <v>6.0</v>
      </c>
      <c r="E19" s="5">
        <v>0.0</v>
      </c>
      <c r="F19" s="5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/>
      <c r="B20" s="7" t="s">
        <v>10</v>
      </c>
      <c r="C20" s="8">
        <v>710.0</v>
      </c>
      <c r="D20" s="8">
        <v>1.0</v>
      </c>
      <c r="E20" s="8">
        <v>0.0</v>
      </c>
      <c r="F20" s="8">
        <v>0.0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45961.0</v>
      </c>
      <c r="B21" s="4" t="s">
        <v>9</v>
      </c>
      <c r="C21" s="5"/>
      <c r="D21" s="5"/>
      <c r="E21" s="5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/>
      <c r="B22" s="7" t="s">
        <v>10</v>
      </c>
      <c r="C22" s="9"/>
      <c r="D22" s="8"/>
      <c r="E22" s="8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45991.0</v>
      </c>
      <c r="B23" s="4" t="s">
        <v>9</v>
      </c>
      <c r="C23" s="5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/>
      <c r="B24" s="7" t="s">
        <v>10</v>
      </c>
      <c r="C24" s="9"/>
      <c r="D24" s="8"/>
      <c r="E24" s="8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46022.0</v>
      </c>
      <c r="B25" s="4" t="s">
        <v>9</v>
      </c>
      <c r="C25" s="5"/>
      <c r="D25" s="5"/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/>
      <c r="B26" s="7" t="s">
        <v>10</v>
      </c>
      <c r="C26" s="9"/>
      <c r="D26" s="8"/>
      <c r="E26" s="8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" t="s">
        <v>11</v>
      </c>
      <c r="B27" s="4" t="s">
        <v>9</v>
      </c>
      <c r="C27" s="5">
        <f t="shared" ref="C27:F27" si="1">C3+C5+C7+C9+C11+C13+C15+C17+C19+C21+C23+C25</f>
        <v>1002</v>
      </c>
      <c r="D27" s="5">
        <f t="shared" si="1"/>
        <v>54</v>
      </c>
      <c r="E27" s="5">
        <f t="shared" si="1"/>
        <v>0</v>
      </c>
      <c r="F27" s="5">
        <f t="shared" si="1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/>
      <c r="B28" s="7" t="s">
        <v>10</v>
      </c>
      <c r="C28" s="9">
        <f>C4+C6+C8+C10+C12+C14+C16+C18+C20+C22+C24+C26</f>
        <v>11261</v>
      </c>
      <c r="D28" s="8">
        <v>23.0</v>
      </c>
      <c r="E28" s="8">
        <v>0.0</v>
      </c>
      <c r="F28" s="8">
        <v>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3">
    <mergeCell ref="A17:A18"/>
    <mergeCell ref="A19:A20"/>
    <mergeCell ref="A21:A22"/>
    <mergeCell ref="A23:A24"/>
    <mergeCell ref="A25:A26"/>
    <mergeCell ref="A27:A28"/>
    <mergeCell ref="A3:A4"/>
    <mergeCell ref="A5:A6"/>
    <mergeCell ref="A7:A8"/>
    <mergeCell ref="A9:A10"/>
    <mergeCell ref="A11:A12"/>
    <mergeCell ref="A13:A14"/>
    <mergeCell ref="A15:A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11" max="14" width="13.63"/>
  </cols>
  <sheetData>
    <row r="1">
      <c r="A1" s="11" t="s">
        <v>12</v>
      </c>
      <c r="B1" s="12">
        <v>45688.0</v>
      </c>
      <c r="C1" s="12">
        <v>45716.0</v>
      </c>
      <c r="D1" s="12">
        <v>45747.0</v>
      </c>
      <c r="E1" s="12">
        <v>45777.0</v>
      </c>
      <c r="F1" s="12">
        <v>45808.0</v>
      </c>
      <c r="G1" s="12">
        <v>45838.0</v>
      </c>
      <c r="H1" s="12">
        <v>45869.0</v>
      </c>
      <c r="I1" s="12">
        <v>45900.0</v>
      </c>
      <c r="J1" s="12">
        <v>45930.0</v>
      </c>
      <c r="K1" s="12">
        <v>45961.0</v>
      </c>
      <c r="L1" s="12">
        <v>45991.0</v>
      </c>
      <c r="M1" s="12">
        <v>46022.0</v>
      </c>
      <c r="N1" s="11" t="s">
        <v>13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1" t="s">
        <v>14</v>
      </c>
      <c r="B2" s="11">
        <v>32.0</v>
      </c>
      <c r="C2" s="11">
        <v>83.0</v>
      </c>
      <c r="D2" s="11">
        <v>163.0</v>
      </c>
      <c r="E2" s="11">
        <v>237.0</v>
      </c>
      <c r="F2" s="11">
        <v>131.0</v>
      </c>
      <c r="G2" s="11">
        <v>181.0</v>
      </c>
      <c r="H2" s="11">
        <v>38.0</v>
      </c>
      <c r="I2" s="11">
        <v>60.0</v>
      </c>
      <c r="J2" s="11">
        <v>77.0</v>
      </c>
      <c r="K2" s="14"/>
      <c r="L2" s="14"/>
      <c r="M2" s="14"/>
      <c r="N2" s="14">
        <v>1002.0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1" t="s">
        <v>15</v>
      </c>
      <c r="B3" s="11">
        <v>32.0</v>
      </c>
      <c r="C3" s="11">
        <v>83.0</v>
      </c>
      <c r="D3" s="11">
        <v>163.0</v>
      </c>
      <c r="E3" s="11">
        <v>237.0</v>
      </c>
      <c r="F3" s="11">
        <v>131.0</v>
      </c>
      <c r="G3" s="11">
        <v>181.0</v>
      </c>
      <c r="H3" s="11">
        <v>38.0</v>
      </c>
      <c r="I3" s="11">
        <v>60.0</v>
      </c>
      <c r="J3" s="11">
        <v>77.0</v>
      </c>
      <c r="K3" s="14"/>
      <c r="L3" s="14"/>
      <c r="M3" s="14"/>
      <c r="N3" s="14">
        <v>1002.0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12</v>
      </c>
      <c r="B1" s="16">
        <v>45688.0</v>
      </c>
      <c r="C1" s="16">
        <v>45716.0</v>
      </c>
      <c r="D1" s="16">
        <v>45747.0</v>
      </c>
      <c r="E1" s="16">
        <v>45777.0</v>
      </c>
      <c r="F1" s="16">
        <v>45808.0</v>
      </c>
      <c r="G1" s="16">
        <v>45838.0</v>
      </c>
      <c r="H1" s="16">
        <v>45869.0</v>
      </c>
      <c r="I1" s="16">
        <v>45900.0</v>
      </c>
      <c r="J1" s="16">
        <v>45930.0</v>
      </c>
      <c r="K1" s="16">
        <v>45961.0</v>
      </c>
      <c r="L1" s="16">
        <v>45991.0</v>
      </c>
      <c r="M1" s="16">
        <v>46022.0</v>
      </c>
      <c r="N1" s="15" t="s">
        <v>13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>
      <c r="A2" s="15" t="s">
        <v>14</v>
      </c>
      <c r="B2" s="15">
        <v>3.0</v>
      </c>
      <c r="C2" s="15">
        <v>6.0</v>
      </c>
      <c r="D2" s="15">
        <v>8.0</v>
      </c>
      <c r="E2" s="15">
        <v>19.0</v>
      </c>
      <c r="F2" s="15">
        <v>2.0</v>
      </c>
      <c r="G2" s="15">
        <v>2.0</v>
      </c>
      <c r="H2" s="15">
        <v>5.0</v>
      </c>
      <c r="I2" s="15">
        <v>3.0</v>
      </c>
      <c r="J2" s="15">
        <v>6.0</v>
      </c>
      <c r="K2" s="15"/>
      <c r="L2" s="15"/>
      <c r="M2" s="15"/>
      <c r="N2" s="15">
        <v>54.0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5" t="s">
        <v>15</v>
      </c>
      <c r="B3" s="15">
        <v>3.0</v>
      </c>
      <c r="C3" s="15">
        <v>6.0</v>
      </c>
      <c r="D3" s="15">
        <v>8.0</v>
      </c>
      <c r="E3" s="15">
        <v>19.0</v>
      </c>
      <c r="F3" s="15">
        <v>2.0</v>
      </c>
      <c r="G3" s="15">
        <v>2.0</v>
      </c>
      <c r="H3" s="15">
        <v>5.0</v>
      </c>
      <c r="I3" s="15">
        <v>3.0</v>
      </c>
      <c r="J3" s="15">
        <v>6.0</v>
      </c>
      <c r="K3" s="15"/>
      <c r="L3" s="15"/>
      <c r="M3" s="15"/>
      <c r="N3" s="15">
        <v>54.0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13" width="9.25"/>
    <col customWidth="1" min="14" max="14" width="10.25"/>
    <col customWidth="1" min="15" max="29" width="14.25"/>
  </cols>
  <sheetData>
    <row r="1">
      <c r="A1" s="18" t="s">
        <v>12</v>
      </c>
      <c r="B1" s="19">
        <v>45688.0</v>
      </c>
      <c r="C1" s="19">
        <v>45716.0</v>
      </c>
      <c r="D1" s="19">
        <v>45747.0</v>
      </c>
      <c r="E1" s="19">
        <v>45777.0</v>
      </c>
      <c r="F1" s="19">
        <v>45808.0</v>
      </c>
      <c r="G1" s="19">
        <v>45838.0</v>
      </c>
      <c r="H1" s="19">
        <v>45869.0</v>
      </c>
      <c r="I1" s="19">
        <v>45900.0</v>
      </c>
      <c r="J1" s="19">
        <v>45930.0</v>
      </c>
      <c r="K1" s="19">
        <v>45961.0</v>
      </c>
      <c r="L1" s="19">
        <v>45991.0</v>
      </c>
      <c r="M1" s="19">
        <v>46022.0</v>
      </c>
      <c r="N1" s="18" t="s">
        <v>13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>
      <c r="A2" s="21" t="s">
        <v>14</v>
      </c>
      <c r="B2" s="21">
        <v>756.0</v>
      </c>
      <c r="C2" s="21">
        <v>1659.0</v>
      </c>
      <c r="D2" s="21">
        <v>2128.0</v>
      </c>
      <c r="E2" s="21">
        <v>2846.0</v>
      </c>
      <c r="F2" s="21">
        <v>944.0</v>
      </c>
      <c r="G2" s="21">
        <v>1454.0</v>
      </c>
      <c r="H2" s="21">
        <v>434.0</v>
      </c>
      <c r="I2" s="21">
        <v>330.0</v>
      </c>
      <c r="J2" s="21">
        <v>710.0</v>
      </c>
      <c r="K2" s="21"/>
      <c r="L2" s="21"/>
      <c r="M2" s="21"/>
      <c r="N2" s="21">
        <v>11261.0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>
      <c r="A3" s="21" t="s">
        <v>15</v>
      </c>
      <c r="B3" s="21">
        <v>756.0</v>
      </c>
      <c r="C3" s="21">
        <v>1659.0</v>
      </c>
      <c r="D3" s="21">
        <v>2128.0</v>
      </c>
      <c r="E3" s="21">
        <v>2846.0</v>
      </c>
      <c r="F3" s="21">
        <v>944.0</v>
      </c>
      <c r="G3" s="21">
        <v>1454.0</v>
      </c>
      <c r="H3" s="21">
        <v>434.0</v>
      </c>
      <c r="I3" s="21">
        <v>330.0</v>
      </c>
      <c r="J3" s="21">
        <v>710.0</v>
      </c>
      <c r="K3" s="21"/>
      <c r="L3" s="21"/>
      <c r="M3" s="21"/>
      <c r="N3" s="21">
        <v>11261.0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3" width="12.0"/>
    <col customWidth="1" min="4" max="4" width="13.88"/>
    <col customWidth="1" min="5" max="5" width="12.0"/>
  </cols>
  <sheetData>
    <row r="1" ht="30.0" customHeight="1">
      <c r="A1" s="22" t="s">
        <v>16</v>
      </c>
      <c r="B1" s="22" t="s">
        <v>9</v>
      </c>
      <c r="C1" s="22" t="s">
        <v>17</v>
      </c>
      <c r="D1" s="22" t="s">
        <v>10</v>
      </c>
      <c r="E1" s="22" t="s">
        <v>18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19</v>
      </c>
      <c r="B2" s="25">
        <v>204.0</v>
      </c>
      <c r="C2" s="25">
        <v>4078.0</v>
      </c>
      <c r="D2" s="25">
        <v>3899.0</v>
      </c>
      <c r="E2" s="25">
        <v>122363.0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4" t="s">
        <v>20</v>
      </c>
      <c r="B3" s="25">
        <v>35.0</v>
      </c>
      <c r="C3" s="25">
        <v>1050.0</v>
      </c>
      <c r="D3" s="25">
        <v>239.0</v>
      </c>
      <c r="E3" s="25">
        <v>8351.0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4" t="s">
        <v>21</v>
      </c>
      <c r="B4" s="25">
        <v>3.0</v>
      </c>
      <c r="C4" s="25">
        <v>13.0</v>
      </c>
      <c r="D4" s="25">
        <v>11.0</v>
      </c>
      <c r="E4" s="25">
        <v>415.0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4" t="s">
        <v>22</v>
      </c>
      <c r="B5" s="25">
        <v>760.0</v>
      </c>
      <c r="C5" s="25">
        <v>11230.0</v>
      </c>
      <c r="D5" s="25">
        <v>7112.0</v>
      </c>
      <c r="E5" s="25">
        <v>201520.0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6" t="s">
        <v>15</v>
      </c>
      <c r="B6" s="27">
        <v>1002.0</v>
      </c>
      <c r="C6" s="27">
        <v>16371.0</v>
      </c>
      <c r="D6" s="27">
        <v>11261.0</v>
      </c>
      <c r="E6" s="27">
        <v>332649.0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38"/>
    <col customWidth="1" min="3" max="3" width="19.63"/>
    <col customWidth="1" min="4" max="4" width="19.5"/>
    <col customWidth="1" min="5" max="5" width="11.25"/>
  </cols>
  <sheetData>
    <row r="1">
      <c r="A1" s="11" t="s">
        <v>16</v>
      </c>
      <c r="B1" s="11" t="s">
        <v>23</v>
      </c>
      <c r="C1" s="11" t="s">
        <v>24</v>
      </c>
      <c r="D1" s="11" t="s">
        <v>25</v>
      </c>
      <c r="E1" s="11" t="s">
        <v>26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8" t="s">
        <v>19</v>
      </c>
      <c r="B2" s="29">
        <v>9160.0</v>
      </c>
      <c r="C2" s="29">
        <v>2146.0</v>
      </c>
      <c r="D2" s="29">
        <v>3899.0</v>
      </c>
      <c r="E2" s="30">
        <f t="shared" ref="E2:E6" si="1">D2/B2</f>
        <v>0.4256550218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8" t="s">
        <v>20</v>
      </c>
      <c r="B3" s="29">
        <v>2051.0</v>
      </c>
      <c r="C3" s="31">
        <v>342.0</v>
      </c>
      <c r="D3" s="31">
        <v>239.0</v>
      </c>
      <c r="E3" s="30">
        <f t="shared" si="1"/>
        <v>0.1165285227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8" t="s">
        <v>21</v>
      </c>
      <c r="B4" s="31">
        <v>134.0</v>
      </c>
      <c r="C4" s="31">
        <v>18.0</v>
      </c>
      <c r="D4" s="31">
        <v>11.0</v>
      </c>
      <c r="E4" s="30">
        <f t="shared" si="1"/>
        <v>0.08208955224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8" t="s">
        <v>22</v>
      </c>
      <c r="B5" s="29">
        <v>22092.0</v>
      </c>
      <c r="C5" s="29">
        <v>7357.0</v>
      </c>
      <c r="D5" s="29">
        <v>7112.0</v>
      </c>
      <c r="E5" s="30">
        <f t="shared" si="1"/>
        <v>0.3219264892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15</v>
      </c>
      <c r="B6" s="29">
        <v>33437.0</v>
      </c>
      <c r="C6" s="29">
        <v>9863.0</v>
      </c>
      <c r="D6" s="29">
        <v>11261.0</v>
      </c>
      <c r="E6" s="30">
        <f t="shared" si="1"/>
        <v>0.3367826061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13"/>
  </cols>
  <sheetData>
    <row r="1">
      <c r="A1" s="22" t="s">
        <v>27</v>
      </c>
      <c r="B1" s="32" t="s">
        <v>1</v>
      </c>
      <c r="C1" s="32" t="s">
        <v>28</v>
      </c>
      <c r="D1" s="32" t="s">
        <v>29</v>
      </c>
      <c r="E1" s="32" t="s">
        <v>30</v>
      </c>
      <c r="F1" s="32" t="s">
        <v>31</v>
      </c>
      <c r="G1" s="32" t="s">
        <v>32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>
        <v>45688.0</v>
      </c>
      <c r="B2" s="35">
        <v>110.0</v>
      </c>
      <c r="C2" s="36">
        <v>1244.0</v>
      </c>
      <c r="D2" s="36">
        <v>1244.0</v>
      </c>
      <c r="E2" s="35">
        <v>41.0</v>
      </c>
      <c r="F2" s="36">
        <v>1203.0</v>
      </c>
      <c r="G2" s="35">
        <v>100.0</v>
      </c>
      <c r="H2" s="37"/>
      <c r="I2" s="38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4">
        <v>45716.0</v>
      </c>
      <c r="B3" s="35">
        <v>130.0</v>
      </c>
      <c r="C3" s="36">
        <v>1282.0</v>
      </c>
      <c r="D3" s="36">
        <v>1282.0</v>
      </c>
      <c r="E3" s="35">
        <v>8.0</v>
      </c>
      <c r="F3" s="36">
        <v>1274.0</v>
      </c>
      <c r="G3" s="35">
        <v>100.0</v>
      </c>
      <c r="H3" s="37"/>
      <c r="I3" s="38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4">
        <v>45747.0</v>
      </c>
      <c r="B4" s="35">
        <v>263.0</v>
      </c>
      <c r="C4" s="36">
        <v>1823.0</v>
      </c>
      <c r="D4" s="36">
        <v>1823.0</v>
      </c>
      <c r="E4" s="35">
        <v>42.0</v>
      </c>
      <c r="F4" s="36">
        <v>1781.0</v>
      </c>
      <c r="G4" s="35">
        <v>100.0</v>
      </c>
      <c r="H4" s="37"/>
      <c r="I4" s="38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4">
        <v>45777.0</v>
      </c>
      <c r="B5" s="35">
        <v>399.0</v>
      </c>
      <c r="C5" s="36">
        <v>2807.0</v>
      </c>
      <c r="D5" s="36">
        <v>2807.0</v>
      </c>
      <c r="E5" s="35">
        <v>89.0</v>
      </c>
      <c r="F5" s="36">
        <v>2718.0</v>
      </c>
      <c r="G5" s="35">
        <v>100.0</v>
      </c>
      <c r="H5" s="37"/>
      <c r="I5" s="38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4">
        <v>45808.0</v>
      </c>
      <c r="B6" s="35">
        <v>290.0</v>
      </c>
      <c r="C6" s="36">
        <v>2999.0</v>
      </c>
      <c r="D6" s="36">
        <v>2999.0</v>
      </c>
      <c r="E6" s="35">
        <v>210.0</v>
      </c>
      <c r="F6" s="36">
        <v>2789.0</v>
      </c>
      <c r="G6" s="35">
        <v>100.0</v>
      </c>
      <c r="H6" s="37"/>
      <c r="I6" s="38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4">
        <v>45838.0</v>
      </c>
      <c r="B7" s="35">
        <v>172.0</v>
      </c>
      <c r="C7" s="36">
        <v>2426.0</v>
      </c>
      <c r="D7" s="36">
        <v>2426.0</v>
      </c>
      <c r="E7" s="35">
        <v>273.0</v>
      </c>
      <c r="F7" s="36">
        <v>2153.0</v>
      </c>
      <c r="G7" s="35">
        <v>100.0</v>
      </c>
      <c r="H7" s="37"/>
      <c r="I7" s="38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4">
        <v>45869.0</v>
      </c>
      <c r="B8" s="35">
        <v>532.0</v>
      </c>
      <c r="C8" s="36">
        <v>6619.0</v>
      </c>
      <c r="D8" s="36">
        <v>6619.0</v>
      </c>
      <c r="E8" s="35">
        <v>290.0</v>
      </c>
      <c r="F8" s="36">
        <v>6329.0</v>
      </c>
      <c r="G8" s="35">
        <v>100.0</v>
      </c>
      <c r="H8" s="37"/>
      <c r="I8" s="38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4">
        <v>45900.0</v>
      </c>
      <c r="B9" s="35">
        <v>338.0</v>
      </c>
      <c r="C9" s="36">
        <v>3989.0</v>
      </c>
      <c r="D9" s="36">
        <v>3989.0</v>
      </c>
      <c r="E9" s="35">
        <v>143.0</v>
      </c>
      <c r="F9" s="36">
        <v>3846.0</v>
      </c>
      <c r="G9" s="35">
        <v>100.0</v>
      </c>
      <c r="H9" s="37"/>
      <c r="I9" s="38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4">
        <v>45930.0</v>
      </c>
      <c r="B10" s="35">
        <v>211.0</v>
      </c>
      <c r="C10" s="36">
        <v>3531.0</v>
      </c>
      <c r="D10" s="36">
        <v>3531.0</v>
      </c>
      <c r="E10" s="35">
        <v>38.0</v>
      </c>
      <c r="F10" s="36">
        <v>3493.0</v>
      </c>
      <c r="G10" s="35">
        <v>100.0</v>
      </c>
      <c r="H10" s="37"/>
      <c r="I10" s="38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4">
        <v>45961.0</v>
      </c>
      <c r="B11" s="39"/>
      <c r="C11" s="40"/>
      <c r="D11" s="40"/>
      <c r="E11" s="40"/>
      <c r="F11" s="40"/>
      <c r="G11" s="39"/>
      <c r="H11" s="37"/>
      <c r="I11" s="38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4">
        <v>45991.0</v>
      </c>
      <c r="B12" s="39"/>
      <c r="C12" s="40"/>
      <c r="D12" s="40"/>
      <c r="E12" s="40"/>
      <c r="F12" s="40"/>
      <c r="G12" s="39"/>
      <c r="H12" s="37"/>
      <c r="I12" s="38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4">
        <v>46022.0</v>
      </c>
      <c r="B13" s="39"/>
      <c r="C13" s="40"/>
      <c r="D13" s="40"/>
      <c r="E13" s="40"/>
      <c r="F13" s="40"/>
      <c r="G13" s="39"/>
      <c r="H13" s="37"/>
      <c r="I13" s="38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41" t="s">
        <v>15</v>
      </c>
      <c r="B14" s="39">
        <v>2445.0</v>
      </c>
      <c r="C14" s="40">
        <v>26720.0</v>
      </c>
      <c r="D14" s="40">
        <v>26720.0</v>
      </c>
      <c r="E14" s="40">
        <v>1134.0</v>
      </c>
      <c r="F14" s="40">
        <v>25586.0</v>
      </c>
      <c r="G14" s="39">
        <v>100.0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42" t="s">
        <v>27</v>
      </c>
      <c r="B1" s="42" t="s">
        <v>1</v>
      </c>
      <c r="C1" s="42" t="s">
        <v>28</v>
      </c>
      <c r="D1" s="42" t="s">
        <v>29</v>
      </c>
      <c r="E1" s="42" t="s">
        <v>31</v>
      </c>
      <c r="F1" s="42" t="s">
        <v>32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34">
        <v>45688.0</v>
      </c>
      <c r="B2" s="44"/>
      <c r="C2" s="44"/>
      <c r="D2" s="44"/>
      <c r="E2" s="44"/>
      <c r="F2" s="44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34">
        <v>45716.0</v>
      </c>
      <c r="B3" s="44"/>
      <c r="C3" s="44"/>
      <c r="D3" s="44"/>
      <c r="E3" s="44"/>
      <c r="F3" s="44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34">
        <v>45747.0</v>
      </c>
      <c r="B4" s="44"/>
      <c r="C4" s="44"/>
      <c r="D4" s="44"/>
      <c r="E4" s="44"/>
      <c r="F4" s="44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34">
        <v>45777.0</v>
      </c>
      <c r="B5" s="44">
        <v>112.0</v>
      </c>
      <c r="C5" s="44">
        <v>831.0</v>
      </c>
      <c r="D5" s="44">
        <v>831.0</v>
      </c>
      <c r="E5" s="44">
        <v>831.0</v>
      </c>
      <c r="F5" s="45">
        <f t="shared" ref="F5:F10" si="1">E5/D5</f>
        <v>1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34">
        <v>45808.0</v>
      </c>
      <c r="B6" s="44">
        <v>64.0</v>
      </c>
      <c r="C6" s="44">
        <v>472.0</v>
      </c>
      <c r="D6" s="44">
        <v>472.0</v>
      </c>
      <c r="E6" s="44">
        <v>472.0</v>
      </c>
      <c r="F6" s="45">
        <f t="shared" si="1"/>
        <v>1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34">
        <v>45838.0</v>
      </c>
      <c r="B7" s="44">
        <v>486.0</v>
      </c>
      <c r="C7" s="46">
        <v>5807.0</v>
      </c>
      <c r="D7" s="46">
        <v>5807.0</v>
      </c>
      <c r="E7" s="46">
        <v>5807.0</v>
      </c>
      <c r="F7" s="45">
        <f t="shared" si="1"/>
        <v>1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34">
        <v>45869.0</v>
      </c>
      <c r="B8" s="44">
        <v>171.0</v>
      </c>
      <c r="C8" s="46">
        <v>2062.0</v>
      </c>
      <c r="D8" s="46">
        <v>2062.0</v>
      </c>
      <c r="E8" s="46">
        <v>2062.0</v>
      </c>
      <c r="F8" s="45">
        <f t="shared" si="1"/>
        <v>1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34">
        <v>45900.0</v>
      </c>
      <c r="B9" s="44">
        <v>244.0</v>
      </c>
      <c r="C9" s="46">
        <v>3141.0</v>
      </c>
      <c r="D9" s="46">
        <v>3141.0</v>
      </c>
      <c r="E9" s="46">
        <v>3141.0</v>
      </c>
      <c r="F9" s="45">
        <f t="shared" si="1"/>
        <v>1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34">
        <v>45930.0</v>
      </c>
      <c r="B10" s="44">
        <v>116.0</v>
      </c>
      <c r="C10" s="46">
        <v>2435.0</v>
      </c>
      <c r="D10" s="44">
        <v>2435.0</v>
      </c>
      <c r="E10" s="44">
        <v>2435.0</v>
      </c>
      <c r="F10" s="45">
        <f t="shared" si="1"/>
        <v>1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34">
        <v>45961.0</v>
      </c>
      <c r="B11" s="47"/>
      <c r="C11" s="47"/>
      <c r="D11" s="47"/>
      <c r="E11" s="47"/>
      <c r="F11" s="42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34">
        <v>45991.0</v>
      </c>
      <c r="B12" s="47"/>
      <c r="C12" s="47"/>
      <c r="D12" s="47"/>
      <c r="E12" s="47"/>
      <c r="F12" s="42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34">
        <v>46022.0</v>
      </c>
      <c r="B13" s="47"/>
      <c r="C13" s="47"/>
      <c r="D13" s="47"/>
      <c r="E13" s="47"/>
      <c r="F13" s="42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8" t="s">
        <v>15</v>
      </c>
      <c r="B14" s="47">
        <f t="shared" ref="B14:E14" si="2">SUM(B2:B13)</f>
        <v>1193</v>
      </c>
      <c r="C14" s="47">
        <f t="shared" si="2"/>
        <v>14748</v>
      </c>
      <c r="D14" s="47">
        <f t="shared" si="2"/>
        <v>14748</v>
      </c>
      <c r="E14" s="47">
        <f t="shared" si="2"/>
        <v>14748</v>
      </c>
      <c r="F14" s="45">
        <f>E14/D14</f>
        <v>1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</row>
    <row r="1006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33</v>
      </c>
      <c r="D1" s="44" t="s">
        <v>34</v>
      </c>
      <c r="E1" s="44" t="s">
        <v>35</v>
      </c>
      <c r="F1" s="44" t="s">
        <v>36</v>
      </c>
      <c r="G1" s="44" t="s">
        <v>37</v>
      </c>
      <c r="H1" s="44" t="s">
        <v>38</v>
      </c>
    </row>
    <row r="2">
      <c r="A2" s="49" t="s">
        <v>39</v>
      </c>
      <c r="D2" s="44" t="s">
        <v>40</v>
      </c>
      <c r="E2" s="44">
        <v>485.0</v>
      </c>
      <c r="F2" s="44">
        <v>149.0</v>
      </c>
      <c r="G2" s="44">
        <v>115.0</v>
      </c>
      <c r="H2" s="44">
        <v>31.0</v>
      </c>
    </row>
    <row r="3">
      <c r="A3" s="49" t="s">
        <v>41</v>
      </c>
      <c r="D3" s="44" t="s">
        <v>42</v>
      </c>
      <c r="E3" s="44">
        <v>150.0</v>
      </c>
      <c r="F3" s="44">
        <v>9.0</v>
      </c>
      <c r="G3" s="44">
        <v>9.0</v>
      </c>
      <c r="H3" s="44">
        <v>3.0</v>
      </c>
    </row>
    <row r="4">
      <c r="A4" s="49" t="s">
        <v>43</v>
      </c>
      <c r="D4" s="44" t="s">
        <v>44</v>
      </c>
      <c r="E4" s="44">
        <v>44.0</v>
      </c>
      <c r="F4" s="44">
        <v>0.0</v>
      </c>
      <c r="G4" s="44">
        <v>0.0</v>
      </c>
      <c r="H4" s="44">
        <v>0.0</v>
      </c>
    </row>
    <row r="5">
      <c r="A5" s="49" t="s">
        <v>45</v>
      </c>
      <c r="D5" s="44" t="s">
        <v>46</v>
      </c>
      <c r="E5" s="44">
        <v>5.0</v>
      </c>
      <c r="F5" s="44">
        <v>0.0</v>
      </c>
      <c r="G5" s="44">
        <v>0.0</v>
      </c>
      <c r="H5" s="44">
        <v>0.0</v>
      </c>
    </row>
    <row r="6">
      <c r="A6" s="49" t="s">
        <v>47</v>
      </c>
      <c r="D6" s="44" t="s">
        <v>48</v>
      </c>
      <c r="E6" s="44">
        <v>42.0</v>
      </c>
      <c r="F6" s="44">
        <v>1.0</v>
      </c>
      <c r="G6" s="44">
        <v>1.0</v>
      </c>
      <c r="H6" s="44">
        <v>1.0</v>
      </c>
    </row>
    <row r="7">
      <c r="A7" s="49" t="s">
        <v>49</v>
      </c>
      <c r="D7" s="44" t="s">
        <v>50</v>
      </c>
      <c r="E7" s="44">
        <v>41.0</v>
      </c>
      <c r="F7" s="44">
        <v>58.0</v>
      </c>
      <c r="G7" s="44">
        <v>41.0</v>
      </c>
      <c r="H7" s="44">
        <v>17.0</v>
      </c>
    </row>
    <row r="8">
      <c r="A8" s="49" t="s">
        <v>51</v>
      </c>
      <c r="D8" s="44" t="s">
        <v>52</v>
      </c>
      <c r="E8" s="44">
        <v>5.0</v>
      </c>
      <c r="F8" s="44">
        <v>1.0</v>
      </c>
      <c r="G8" s="44">
        <v>1.0</v>
      </c>
      <c r="H8" s="44">
        <v>1.0</v>
      </c>
    </row>
    <row r="9">
      <c r="A9" s="49" t="s">
        <v>53</v>
      </c>
      <c r="D9" s="44" t="s">
        <v>54</v>
      </c>
      <c r="E9" s="44">
        <v>0.0</v>
      </c>
      <c r="F9" s="44">
        <v>1.0</v>
      </c>
      <c r="G9" s="44">
        <v>0.0</v>
      </c>
      <c r="H9" s="44">
        <v>1.0</v>
      </c>
    </row>
    <row r="10">
      <c r="A10" s="49" t="s">
        <v>55</v>
      </c>
      <c r="D10" s="44" t="s">
        <v>56</v>
      </c>
      <c r="E10" s="44">
        <v>0.0</v>
      </c>
      <c r="F10" s="44">
        <v>0.0</v>
      </c>
      <c r="G10" s="44">
        <v>0.0</v>
      </c>
      <c r="H10" s="44">
        <v>0.0</v>
      </c>
    </row>
    <row r="11">
      <c r="A11" s="49" t="s">
        <v>57</v>
      </c>
      <c r="D11" s="44" t="s">
        <v>58</v>
      </c>
      <c r="E11" s="44">
        <v>0.0</v>
      </c>
      <c r="F11" s="44">
        <v>0.0</v>
      </c>
      <c r="G11" s="44">
        <v>0.0</v>
      </c>
      <c r="H11" s="44">
        <v>0.0</v>
      </c>
    </row>
    <row r="12">
      <c r="A12" s="49" t="s">
        <v>59</v>
      </c>
      <c r="D12" s="44" t="s">
        <v>60</v>
      </c>
      <c r="E12" s="44">
        <v>0.0</v>
      </c>
      <c r="F12" s="44">
        <v>0.0</v>
      </c>
      <c r="G12" s="44">
        <v>0.0</v>
      </c>
      <c r="H12" s="44">
        <v>0.0</v>
      </c>
    </row>
    <row r="13">
      <c r="A13" s="50"/>
      <c r="B13" s="50"/>
      <c r="C13" s="50"/>
      <c r="D13" s="44" t="s">
        <v>61</v>
      </c>
      <c r="E13" s="44">
        <f t="shared" ref="E13:H13" si="1">SUM(E2:E12)</f>
        <v>772</v>
      </c>
      <c r="F13" s="44">
        <f t="shared" si="1"/>
        <v>219</v>
      </c>
      <c r="G13" s="44">
        <f t="shared" si="1"/>
        <v>167</v>
      </c>
      <c r="H13" s="44">
        <f t="shared" si="1"/>
        <v>54</v>
      </c>
    </row>
  </sheetData>
  <mergeCells count="12"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  <mergeCell ref="A7:C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.88"/>
    <col customWidth="1" min="3" max="3" width="7.38"/>
    <col customWidth="1" min="4" max="4" width="6.25"/>
    <col customWidth="1" min="5" max="5" width="5.0"/>
    <col customWidth="1" min="6" max="6" width="5.75"/>
    <col customWidth="1" min="7" max="7" width="5.38"/>
    <col customWidth="1" min="8" max="8" width="4.75"/>
    <col customWidth="1" min="9" max="9" width="6.75"/>
    <col customWidth="1" min="10" max="10" width="10.5"/>
    <col customWidth="1" min="11" max="14" width="5.63"/>
  </cols>
  <sheetData>
    <row r="1">
      <c r="A1" s="51" t="s">
        <v>62</v>
      </c>
      <c r="B1" s="19">
        <v>45688.0</v>
      </c>
      <c r="C1" s="19">
        <v>45716.0</v>
      </c>
      <c r="D1" s="19">
        <v>45747.0</v>
      </c>
      <c r="E1" s="19">
        <v>45777.0</v>
      </c>
      <c r="F1" s="19">
        <v>45808.0</v>
      </c>
      <c r="G1" s="19">
        <v>45838.0</v>
      </c>
      <c r="H1" s="19">
        <v>45869.0</v>
      </c>
      <c r="I1" s="19">
        <v>45900.0</v>
      </c>
      <c r="J1" s="19">
        <v>45930.0</v>
      </c>
      <c r="K1" s="19">
        <v>45961.0</v>
      </c>
      <c r="L1" s="19">
        <v>45991.0</v>
      </c>
      <c r="M1" s="19">
        <v>46022.0</v>
      </c>
      <c r="N1" s="52" t="s">
        <v>63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51" t="s">
        <v>14</v>
      </c>
      <c r="B2" s="11">
        <v>590.0</v>
      </c>
      <c r="C2" s="11">
        <v>442.0</v>
      </c>
      <c r="D2" s="11">
        <v>400.0</v>
      </c>
      <c r="E2" s="11">
        <v>400.0</v>
      </c>
      <c r="F2" s="11">
        <v>401.0</v>
      </c>
      <c r="G2" s="11">
        <v>367.0</v>
      </c>
      <c r="H2" s="11">
        <v>436.0</v>
      </c>
      <c r="I2" s="11">
        <v>379.0</v>
      </c>
      <c r="J2" s="11">
        <v>494.0</v>
      </c>
      <c r="K2" s="53"/>
      <c r="L2" s="53"/>
      <c r="M2" s="53"/>
      <c r="N2" s="53">
        <f>SUM(B2:M2)</f>
        <v>3909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51" t="s">
        <v>64</v>
      </c>
      <c r="B3" s="52">
        <v>590.0</v>
      </c>
      <c r="C3" s="52">
        <v>442.0</v>
      </c>
      <c r="D3" s="52">
        <v>400.0</v>
      </c>
      <c r="E3" s="52">
        <v>400.0</v>
      </c>
      <c r="F3" s="52">
        <v>401.0</v>
      </c>
      <c r="G3" s="52">
        <v>367.0</v>
      </c>
      <c r="H3" s="52">
        <v>436.0</v>
      </c>
      <c r="I3" s="52">
        <v>379.0</v>
      </c>
      <c r="J3" s="52">
        <v>494.0</v>
      </c>
      <c r="K3" s="53"/>
      <c r="L3" s="53"/>
      <c r="M3" s="53"/>
      <c r="N3" s="53">
        <v>3909.0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4" width="16.63"/>
  </cols>
  <sheetData>
    <row r="1">
      <c r="A1" s="32" t="s">
        <v>65</v>
      </c>
      <c r="B1" s="32" t="s">
        <v>66</v>
      </c>
      <c r="C1" s="32" t="s">
        <v>67</v>
      </c>
      <c r="D1" s="32" t="s">
        <v>68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34">
        <v>45688.0</v>
      </c>
      <c r="B2" s="55">
        <v>590.0</v>
      </c>
      <c r="C2" s="55">
        <v>446.0</v>
      </c>
      <c r="D2" s="55">
        <v>420.0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34">
        <v>45716.0</v>
      </c>
      <c r="B3" s="55">
        <v>442.0</v>
      </c>
      <c r="C3" s="55">
        <v>521.0</v>
      </c>
      <c r="D3" s="55">
        <v>365.0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34">
        <v>45747.0</v>
      </c>
      <c r="B4" s="55">
        <v>400.0</v>
      </c>
      <c r="C4" s="55">
        <v>470.0</v>
      </c>
      <c r="D4" s="55">
        <v>253.0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34">
        <v>45777.0</v>
      </c>
      <c r="B5" s="55">
        <v>400.0</v>
      </c>
      <c r="C5" s="55">
        <v>528.0</v>
      </c>
      <c r="D5" s="55">
        <v>229.0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34">
        <v>45808.0</v>
      </c>
      <c r="B6" s="55">
        <v>401.0</v>
      </c>
      <c r="C6" s="55">
        <v>370.0</v>
      </c>
      <c r="D6" s="55">
        <v>315.0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34">
        <v>45838.0</v>
      </c>
      <c r="B7" s="55">
        <v>367.0</v>
      </c>
      <c r="C7" s="55">
        <v>410.0</v>
      </c>
      <c r="D7" s="55">
        <v>254.0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34">
        <v>45869.0</v>
      </c>
      <c r="B8" s="55">
        <v>436.0</v>
      </c>
      <c r="C8" s="55">
        <v>527.0</v>
      </c>
      <c r="D8" s="55">
        <v>282.0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34">
        <v>45900.0</v>
      </c>
      <c r="B9" s="55">
        <v>379.0</v>
      </c>
      <c r="C9" s="55">
        <v>435.0</v>
      </c>
      <c r="D9" s="55">
        <v>291.0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34">
        <v>45930.0</v>
      </c>
      <c r="B10" s="55">
        <v>494.0</v>
      </c>
      <c r="C10" s="55">
        <v>497.0</v>
      </c>
      <c r="D10" s="55">
        <v>195.0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34">
        <v>45961.0</v>
      </c>
      <c r="B11" s="56"/>
      <c r="C11" s="56"/>
      <c r="D11" s="56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34">
        <v>45991.0</v>
      </c>
      <c r="B12" s="56"/>
      <c r="C12" s="56"/>
      <c r="D12" s="56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34">
        <v>46022.0</v>
      </c>
      <c r="B13" s="56"/>
      <c r="C13" s="56"/>
      <c r="D13" s="56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32" t="s">
        <v>11</v>
      </c>
      <c r="B14" s="56">
        <f t="shared" ref="B14:D14" si="1">SUM(B2:B13)</f>
        <v>3909</v>
      </c>
      <c r="C14" s="56">
        <f t="shared" si="1"/>
        <v>4204</v>
      </c>
      <c r="D14" s="56">
        <f t="shared" si="1"/>
        <v>2604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75"/>
  </cols>
  <sheetData>
    <row r="1">
      <c r="A1" s="57" t="s">
        <v>69</v>
      </c>
      <c r="B1" s="57" t="s">
        <v>70</v>
      </c>
    </row>
    <row r="2">
      <c r="A2" s="57" t="s">
        <v>71</v>
      </c>
      <c r="B2" s="57" t="s">
        <v>72</v>
      </c>
    </row>
    <row r="3">
      <c r="A3" s="58" t="s">
        <v>73</v>
      </c>
      <c r="B3" s="59">
        <v>2730.0</v>
      </c>
    </row>
    <row r="4">
      <c r="A4" s="58" t="s">
        <v>74</v>
      </c>
      <c r="B4" s="59">
        <v>276.0</v>
      </c>
    </row>
    <row r="5">
      <c r="A5" s="58" t="s">
        <v>75</v>
      </c>
      <c r="B5" s="59">
        <v>124.0</v>
      </c>
    </row>
    <row r="6">
      <c r="A6" s="58" t="s">
        <v>76</v>
      </c>
      <c r="B6" s="59">
        <v>4262.0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8.0"/>
    <col customWidth="1" min="3" max="3" width="13.13"/>
    <col customWidth="1" min="4" max="4" width="13.0"/>
    <col customWidth="1" min="5" max="5" width="16.38"/>
    <col customWidth="1" min="6" max="6" width="9.5"/>
    <col customWidth="1" min="7" max="26" width="44.75"/>
  </cols>
  <sheetData>
    <row r="1">
      <c r="A1" s="60" t="s">
        <v>77</v>
      </c>
      <c r="B1" s="61" t="s">
        <v>78</v>
      </c>
      <c r="C1" s="61" t="s">
        <v>79</v>
      </c>
      <c r="D1" s="61" t="s">
        <v>80</v>
      </c>
      <c r="E1" s="61" t="s">
        <v>81</v>
      </c>
    </row>
    <row r="2">
      <c r="A2" s="62" t="s">
        <v>82</v>
      </c>
      <c r="B2" s="63" t="s">
        <v>83</v>
      </c>
      <c r="C2" s="64">
        <v>31.0</v>
      </c>
      <c r="D2" s="64">
        <v>264.0</v>
      </c>
      <c r="E2" s="64">
        <v>6.0</v>
      </c>
    </row>
    <row r="3">
      <c r="A3" s="62" t="s">
        <v>84</v>
      </c>
      <c r="B3" s="63" t="s">
        <v>85</v>
      </c>
      <c r="C3" s="64">
        <v>6.0</v>
      </c>
      <c r="D3" s="64">
        <v>144.0</v>
      </c>
      <c r="E3" s="64">
        <v>0.0</v>
      </c>
    </row>
    <row r="4">
      <c r="A4" s="65" t="s">
        <v>86</v>
      </c>
      <c r="B4" s="66" t="s">
        <v>87</v>
      </c>
      <c r="C4" s="64">
        <v>2.0</v>
      </c>
      <c r="D4" s="64">
        <v>8.0</v>
      </c>
      <c r="E4" s="64">
        <v>0.0</v>
      </c>
    </row>
    <row r="5">
      <c r="A5" s="62" t="s">
        <v>88</v>
      </c>
      <c r="B5" s="63" t="s">
        <v>89</v>
      </c>
      <c r="C5" s="64">
        <v>1.0</v>
      </c>
      <c r="D5" s="64">
        <v>8.0</v>
      </c>
      <c r="E5" s="64">
        <v>0.0</v>
      </c>
    </row>
    <row r="6">
      <c r="A6" s="62" t="s">
        <v>90</v>
      </c>
      <c r="B6" s="63" t="s">
        <v>91</v>
      </c>
      <c r="C6" s="64">
        <v>1.0</v>
      </c>
      <c r="D6" s="64">
        <v>7.0</v>
      </c>
      <c r="E6" s="64">
        <v>0.0</v>
      </c>
    </row>
    <row r="7">
      <c r="A7" s="62">
        <v>2098.0</v>
      </c>
      <c r="B7" s="66" t="s">
        <v>92</v>
      </c>
      <c r="C7" s="64">
        <v>66.0</v>
      </c>
      <c r="D7" s="64">
        <v>719.0</v>
      </c>
      <c r="E7" s="64">
        <v>14.0</v>
      </c>
    </row>
    <row r="8">
      <c r="A8" s="65" t="s">
        <v>93</v>
      </c>
      <c r="B8" s="66" t="s">
        <v>94</v>
      </c>
      <c r="C8" s="67">
        <v>195.0</v>
      </c>
      <c r="D8" s="67">
        <v>1945.0</v>
      </c>
      <c r="E8" s="64">
        <v>126.0</v>
      </c>
    </row>
    <row r="9">
      <c r="A9" s="62" t="s">
        <v>95</v>
      </c>
      <c r="B9" s="63" t="s">
        <v>96</v>
      </c>
      <c r="C9" s="64">
        <v>25.0</v>
      </c>
      <c r="D9" s="64">
        <v>313.0</v>
      </c>
      <c r="E9" s="64">
        <v>10.0</v>
      </c>
    </row>
    <row r="10">
      <c r="A10" s="62" t="s">
        <v>97</v>
      </c>
      <c r="B10" s="63" t="s">
        <v>98</v>
      </c>
      <c r="C10" s="64">
        <v>6.0</v>
      </c>
      <c r="D10" s="64">
        <v>31.0</v>
      </c>
      <c r="E10" s="64">
        <v>0.0</v>
      </c>
    </row>
    <row r="11">
      <c r="A11" s="62" t="s">
        <v>99</v>
      </c>
      <c r="B11" s="63" t="s">
        <v>100</v>
      </c>
      <c r="C11" s="64">
        <v>71.0</v>
      </c>
      <c r="D11" s="64">
        <v>670.0</v>
      </c>
      <c r="E11" s="64">
        <v>7.0</v>
      </c>
    </row>
    <row r="12">
      <c r="A12" s="62" t="s">
        <v>101</v>
      </c>
      <c r="B12" s="63" t="s">
        <v>102</v>
      </c>
      <c r="C12" s="64">
        <v>5.0</v>
      </c>
      <c r="D12" s="64">
        <v>72.0</v>
      </c>
      <c r="E12" s="64">
        <v>0.0</v>
      </c>
    </row>
    <row r="13">
      <c r="A13" s="62" t="s">
        <v>103</v>
      </c>
      <c r="B13" s="63" t="s">
        <v>104</v>
      </c>
      <c r="C13" s="64">
        <v>5.0</v>
      </c>
      <c r="D13" s="64">
        <v>104.0</v>
      </c>
      <c r="E13" s="64">
        <v>0.0</v>
      </c>
    </row>
    <row r="14">
      <c r="A14" s="62" t="s">
        <v>105</v>
      </c>
      <c r="B14" s="63" t="s">
        <v>106</v>
      </c>
      <c r="C14" s="64">
        <v>2.0</v>
      </c>
      <c r="D14" s="64">
        <v>95.0</v>
      </c>
      <c r="E14" s="64">
        <v>2.0</v>
      </c>
    </row>
    <row r="15">
      <c r="A15" s="62">
        <v>2946.0</v>
      </c>
      <c r="B15" s="66" t="s">
        <v>107</v>
      </c>
      <c r="C15" s="64">
        <v>1.0</v>
      </c>
      <c r="D15" s="64">
        <v>4.0</v>
      </c>
      <c r="E15" s="64">
        <v>0.0</v>
      </c>
    </row>
    <row r="16">
      <c r="A16" s="65">
        <v>2969.0</v>
      </c>
      <c r="B16" s="66" t="s">
        <v>108</v>
      </c>
      <c r="C16" s="64">
        <v>2.0</v>
      </c>
      <c r="D16" s="64">
        <v>35.0</v>
      </c>
      <c r="E16" s="64">
        <v>0.0</v>
      </c>
    </row>
    <row r="17">
      <c r="A17" s="65">
        <v>2987.0</v>
      </c>
      <c r="B17" s="66" t="s">
        <v>109</v>
      </c>
      <c r="C17" s="64">
        <v>1.0</v>
      </c>
      <c r="D17" s="64">
        <v>11.0</v>
      </c>
      <c r="E17" s="64">
        <v>0.0</v>
      </c>
    </row>
    <row r="18">
      <c r="A18" s="62">
        <v>3000.0</v>
      </c>
      <c r="B18" s="66" t="s">
        <v>110</v>
      </c>
      <c r="C18" s="64">
        <v>105.0</v>
      </c>
      <c r="D18" s="64">
        <v>935.0</v>
      </c>
      <c r="E18" s="64">
        <v>43.0</v>
      </c>
    </row>
    <row r="19">
      <c r="A19" s="62" t="s">
        <v>111</v>
      </c>
      <c r="B19" s="63" t="s">
        <v>112</v>
      </c>
      <c r="C19" s="64">
        <v>41.0</v>
      </c>
      <c r="D19" s="64">
        <v>658.0</v>
      </c>
      <c r="E19" s="64">
        <v>31.0</v>
      </c>
    </row>
    <row r="20">
      <c r="A20" s="62" t="s">
        <v>113</v>
      </c>
      <c r="B20" s="63" t="s">
        <v>114</v>
      </c>
      <c r="C20" s="64">
        <v>36.0</v>
      </c>
      <c r="D20" s="64">
        <v>363.0</v>
      </c>
      <c r="E20" s="64">
        <v>0.0</v>
      </c>
    </row>
    <row r="21">
      <c r="A21" s="62" t="s">
        <v>115</v>
      </c>
      <c r="B21" s="63" t="s">
        <v>116</v>
      </c>
      <c r="C21" s="64">
        <v>2.0</v>
      </c>
      <c r="D21" s="64">
        <v>158.0</v>
      </c>
      <c r="E21" s="64">
        <v>0.0</v>
      </c>
    </row>
    <row r="22">
      <c r="A22" s="62">
        <v>3954.0</v>
      </c>
      <c r="B22" s="66" t="s">
        <v>117</v>
      </c>
      <c r="C22" s="67">
        <v>146.0</v>
      </c>
      <c r="D22" s="67">
        <v>1855.0</v>
      </c>
      <c r="E22" s="64">
        <v>111.0</v>
      </c>
    </row>
    <row r="23">
      <c r="A23" s="65" t="s">
        <v>118</v>
      </c>
      <c r="B23" s="66" t="s">
        <v>119</v>
      </c>
      <c r="C23" s="67">
        <v>128.0</v>
      </c>
      <c r="D23" s="67">
        <v>1596.0</v>
      </c>
      <c r="E23" s="64">
        <v>81.0</v>
      </c>
    </row>
    <row r="24">
      <c r="A24" s="62" t="s">
        <v>120</v>
      </c>
      <c r="B24" s="63" t="s">
        <v>121</v>
      </c>
      <c r="C24" s="67">
        <v>57.0</v>
      </c>
      <c r="D24" s="67">
        <v>1272.0</v>
      </c>
      <c r="E24" s="64">
        <v>49.0</v>
      </c>
    </row>
    <row r="25">
      <c r="A25" s="62" t="s">
        <v>122</v>
      </c>
      <c r="B25" s="63" t="s">
        <v>123</v>
      </c>
      <c r="C25" s="67">
        <v>108.0</v>
      </c>
      <c r="D25" s="67">
        <v>1467.0</v>
      </c>
      <c r="E25" s="64">
        <v>69.0</v>
      </c>
    </row>
    <row r="26">
      <c r="A26" s="62" t="s">
        <v>124</v>
      </c>
      <c r="B26" s="63" t="s">
        <v>125</v>
      </c>
      <c r="C26" s="64">
        <v>51.0</v>
      </c>
      <c r="D26" s="64">
        <v>598.0</v>
      </c>
      <c r="E26" s="64">
        <v>5.0</v>
      </c>
    </row>
    <row r="27">
      <c r="A27" s="62" t="s">
        <v>126</v>
      </c>
      <c r="B27" s="63" t="s">
        <v>127</v>
      </c>
      <c r="C27" s="67">
        <v>62.0</v>
      </c>
      <c r="D27" s="67">
        <v>1121.0</v>
      </c>
      <c r="E27" s="64">
        <v>14.0</v>
      </c>
    </row>
    <row r="28">
      <c r="A28" s="62" t="s">
        <v>128</v>
      </c>
      <c r="B28" s="63" t="s">
        <v>129</v>
      </c>
      <c r="C28" s="64">
        <v>35.0</v>
      </c>
      <c r="D28" s="64">
        <v>475.0</v>
      </c>
      <c r="E28" s="64">
        <v>12.0</v>
      </c>
    </row>
    <row r="29">
      <c r="A29" s="62" t="s">
        <v>130</v>
      </c>
      <c r="B29" s="63" t="s">
        <v>131</v>
      </c>
      <c r="C29" s="67">
        <v>77.0</v>
      </c>
      <c r="D29" s="67">
        <v>1427.0</v>
      </c>
      <c r="E29" s="64">
        <v>10.0</v>
      </c>
    </row>
    <row r="30">
      <c r="A30" s="62">
        <v>662.0</v>
      </c>
      <c r="B30" s="66" t="s">
        <v>132</v>
      </c>
      <c r="C30" s="67">
        <v>224.0</v>
      </c>
      <c r="D30" s="67">
        <v>1250.0</v>
      </c>
      <c r="E30" s="64">
        <v>18.0</v>
      </c>
    </row>
    <row r="31">
      <c r="A31" s="62">
        <v>7843.0</v>
      </c>
      <c r="B31" s="66" t="s">
        <v>133</v>
      </c>
      <c r="C31" s="67">
        <v>167.0</v>
      </c>
      <c r="D31" s="67">
        <v>1239.0</v>
      </c>
      <c r="E31" s="64">
        <v>121.0</v>
      </c>
    </row>
    <row r="32">
      <c r="A32" s="62">
        <v>8646.0</v>
      </c>
      <c r="B32" s="66" t="s">
        <v>134</v>
      </c>
      <c r="C32" s="67">
        <v>236.0</v>
      </c>
      <c r="D32" s="67">
        <v>3346.0</v>
      </c>
      <c r="E32" s="64">
        <v>71.0</v>
      </c>
    </row>
    <row r="33">
      <c r="A33" s="62">
        <v>8945.0</v>
      </c>
      <c r="B33" s="66" t="s">
        <v>135</v>
      </c>
      <c r="C33" s="64">
        <v>123.0</v>
      </c>
      <c r="D33" s="64">
        <v>830.0</v>
      </c>
      <c r="E33" s="64">
        <v>51.0</v>
      </c>
    </row>
    <row r="34">
      <c r="A34" s="62">
        <v>9035.0</v>
      </c>
      <c r="B34" s="66" t="s">
        <v>136</v>
      </c>
      <c r="C34" s="67">
        <v>173.0</v>
      </c>
      <c r="D34" s="67">
        <v>1370.0</v>
      </c>
      <c r="E34" s="64">
        <v>61.0</v>
      </c>
    </row>
    <row r="35">
      <c r="A35" s="62">
        <v>9039.0</v>
      </c>
      <c r="B35" s="66" t="s">
        <v>137</v>
      </c>
      <c r="C35" s="67">
        <v>218.0</v>
      </c>
      <c r="D35" s="67">
        <v>1275.0</v>
      </c>
      <c r="E35" s="64">
        <v>10.0</v>
      </c>
    </row>
    <row r="36">
      <c r="A36" s="68"/>
      <c r="B36" s="69"/>
      <c r="C36" s="67">
        <f t="shared" ref="C36:E36" si="1">SUM(C2:C35)</f>
        <v>2409</v>
      </c>
      <c r="D36" s="67">
        <f t="shared" si="1"/>
        <v>25665</v>
      </c>
      <c r="E36" s="67">
        <f t="shared" si="1"/>
        <v>922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70" t="s">
        <v>138</v>
      </c>
      <c r="B1" s="71" t="s">
        <v>79</v>
      </c>
      <c r="C1" s="71" t="s">
        <v>80</v>
      </c>
      <c r="D1" s="71" t="s">
        <v>81</v>
      </c>
    </row>
    <row r="2">
      <c r="A2" s="72" t="s">
        <v>139</v>
      </c>
      <c r="B2" s="73">
        <v>1.0</v>
      </c>
      <c r="C2" s="73">
        <v>10.0</v>
      </c>
      <c r="D2" s="73">
        <v>0.0</v>
      </c>
    </row>
    <row r="3">
      <c r="A3" s="72" t="s">
        <v>140</v>
      </c>
      <c r="B3" s="73">
        <v>1.0</v>
      </c>
      <c r="C3" s="73">
        <v>20.0</v>
      </c>
      <c r="D3" s="73">
        <v>0.0</v>
      </c>
    </row>
    <row r="4">
      <c r="A4" s="72" t="s">
        <v>141</v>
      </c>
      <c r="B4" s="73">
        <v>2.0</v>
      </c>
      <c r="C4" s="73">
        <v>105.0</v>
      </c>
      <c r="D4" s="73">
        <v>0.0</v>
      </c>
    </row>
    <row r="5">
      <c r="A5" s="72" t="s">
        <v>142</v>
      </c>
      <c r="B5" s="73">
        <v>1.0</v>
      </c>
      <c r="C5" s="73">
        <v>25.0</v>
      </c>
      <c r="D5" s="73">
        <v>0.0</v>
      </c>
    </row>
    <row r="6">
      <c r="A6" s="72" t="s">
        <v>143</v>
      </c>
      <c r="B6" s="73">
        <v>1.0</v>
      </c>
      <c r="C6" s="73">
        <v>5.0</v>
      </c>
      <c r="D6" s="73">
        <v>0.0</v>
      </c>
    </row>
    <row r="7">
      <c r="A7" s="72" t="s">
        <v>144</v>
      </c>
      <c r="B7" s="73">
        <v>5.0</v>
      </c>
      <c r="C7" s="73">
        <v>277.0</v>
      </c>
      <c r="D7" s="73">
        <v>0.0</v>
      </c>
    </row>
    <row r="8">
      <c r="A8" s="72" t="s">
        <v>145</v>
      </c>
      <c r="B8" s="73">
        <v>2.0</v>
      </c>
      <c r="C8" s="73">
        <v>113.0</v>
      </c>
      <c r="D8" s="73">
        <v>0.0</v>
      </c>
    </row>
    <row r="9">
      <c r="A9" s="72" t="s">
        <v>146</v>
      </c>
      <c r="B9" s="73">
        <v>2.0</v>
      </c>
      <c r="C9" s="73">
        <v>119.0</v>
      </c>
      <c r="D9" s="73">
        <v>0.0</v>
      </c>
    </row>
    <row r="10">
      <c r="A10" s="72" t="s">
        <v>147</v>
      </c>
      <c r="B10" s="73">
        <v>6.0</v>
      </c>
      <c r="C10" s="73">
        <v>142.0</v>
      </c>
      <c r="D10" s="73">
        <v>0.0</v>
      </c>
    </row>
    <row r="11">
      <c r="A11" s="72" t="s">
        <v>148</v>
      </c>
      <c r="B11" s="73">
        <v>1.0</v>
      </c>
      <c r="C11" s="73">
        <v>92.0</v>
      </c>
      <c r="D11" s="73">
        <v>0.0</v>
      </c>
    </row>
    <row r="12">
      <c r="A12" s="72" t="s">
        <v>149</v>
      </c>
      <c r="B12" s="73">
        <v>1.0</v>
      </c>
      <c r="C12" s="73">
        <v>15.0</v>
      </c>
      <c r="D12" s="73">
        <v>0.0</v>
      </c>
    </row>
    <row r="13">
      <c r="A13" s="72" t="s">
        <v>150</v>
      </c>
      <c r="B13" s="73">
        <v>1.0</v>
      </c>
      <c r="C13" s="73">
        <v>13.0</v>
      </c>
      <c r="D13" s="73">
        <v>0.0</v>
      </c>
    </row>
    <row r="14">
      <c r="A14" s="72" t="s">
        <v>151</v>
      </c>
      <c r="B14" s="73">
        <v>1.0</v>
      </c>
      <c r="C14" s="73">
        <v>3.0</v>
      </c>
      <c r="D14" s="73">
        <v>0.0</v>
      </c>
    </row>
    <row r="15">
      <c r="A15" s="72" t="s">
        <v>152</v>
      </c>
      <c r="B15" s="73">
        <v>5.0</v>
      </c>
      <c r="C15" s="73">
        <v>24.0</v>
      </c>
      <c r="D15" s="73">
        <v>0.0</v>
      </c>
    </row>
    <row r="16">
      <c r="A16" s="72" t="s">
        <v>153</v>
      </c>
      <c r="B16" s="73">
        <v>5.0</v>
      </c>
      <c r="C16" s="73">
        <v>82.0</v>
      </c>
      <c r="D16" s="73">
        <v>3.0</v>
      </c>
    </row>
    <row r="17">
      <c r="A17" s="72" t="s">
        <v>154</v>
      </c>
      <c r="B17" s="73">
        <v>1.0</v>
      </c>
      <c r="C17" s="73">
        <v>10.0</v>
      </c>
      <c r="D17" s="73">
        <v>0.0</v>
      </c>
    </row>
    <row r="18">
      <c r="A18" s="74"/>
      <c r="B18" s="75">
        <f t="shared" ref="B18:D18" si="1">SUM(B2:B17)</f>
        <v>36</v>
      </c>
      <c r="C18" s="75">
        <f t="shared" si="1"/>
        <v>1055</v>
      </c>
      <c r="D18" s="75">
        <f t="shared" si="1"/>
        <v>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7" width="12.88"/>
  </cols>
  <sheetData>
    <row r="1">
      <c r="A1" s="76"/>
      <c r="B1" s="76" t="s">
        <v>155</v>
      </c>
      <c r="C1" s="76" t="s">
        <v>156</v>
      </c>
      <c r="D1" s="76" t="s">
        <v>157</v>
      </c>
      <c r="E1" s="76" t="s">
        <v>158</v>
      </c>
      <c r="F1" s="76" t="s">
        <v>159</v>
      </c>
      <c r="G1" s="76" t="s">
        <v>160</v>
      </c>
      <c r="H1" s="76" t="s">
        <v>161</v>
      </c>
      <c r="I1" s="76" t="s">
        <v>162</v>
      </c>
      <c r="J1" s="76" t="s">
        <v>163</v>
      </c>
      <c r="K1" s="76" t="s">
        <v>164</v>
      </c>
      <c r="L1" s="76" t="s">
        <v>165</v>
      </c>
      <c r="M1" s="76" t="s">
        <v>166</v>
      </c>
      <c r="O1" s="77"/>
    </row>
    <row r="2">
      <c r="A2" s="76" t="s">
        <v>167</v>
      </c>
      <c r="B2" s="76" t="s">
        <v>168</v>
      </c>
      <c r="C2" s="76" t="s">
        <v>168</v>
      </c>
      <c r="D2" s="76" t="s">
        <v>168</v>
      </c>
      <c r="E2" s="76" t="s">
        <v>168</v>
      </c>
      <c r="F2" s="76" t="s">
        <v>168</v>
      </c>
      <c r="G2" s="76" t="s">
        <v>168</v>
      </c>
      <c r="H2" s="76" t="s">
        <v>168</v>
      </c>
      <c r="I2" s="76" t="s">
        <v>168</v>
      </c>
      <c r="J2" s="76" t="s">
        <v>168</v>
      </c>
      <c r="K2" s="76" t="s">
        <v>168</v>
      </c>
      <c r="L2" s="76" t="s">
        <v>168</v>
      </c>
      <c r="M2" s="76" t="s">
        <v>168</v>
      </c>
      <c r="O2" s="77"/>
    </row>
    <row r="3">
      <c r="A3" s="78" t="s">
        <v>169</v>
      </c>
      <c r="B3" s="79">
        <v>251.0</v>
      </c>
      <c r="C3" s="79">
        <v>212.0</v>
      </c>
      <c r="D3" s="79">
        <v>153.0</v>
      </c>
      <c r="E3" s="79">
        <v>155.0</v>
      </c>
      <c r="F3" s="79">
        <v>220.0</v>
      </c>
      <c r="G3" s="79">
        <v>181.0</v>
      </c>
      <c r="H3" s="11">
        <v>175.0</v>
      </c>
      <c r="I3" s="11">
        <v>164.0</v>
      </c>
      <c r="J3" s="11">
        <v>122.0</v>
      </c>
      <c r="K3" s="79"/>
      <c r="L3" s="79"/>
      <c r="M3" s="79"/>
      <c r="O3" s="77"/>
    </row>
    <row r="4">
      <c r="A4" s="78" t="s">
        <v>170</v>
      </c>
      <c r="B4" s="79">
        <v>0.0</v>
      </c>
      <c r="C4" s="79">
        <v>0.0</v>
      </c>
      <c r="D4" s="79">
        <v>0.0</v>
      </c>
      <c r="E4" s="79">
        <v>0.0</v>
      </c>
      <c r="F4" s="79">
        <v>0.0</v>
      </c>
      <c r="G4" s="79">
        <v>0.0</v>
      </c>
      <c r="H4" s="11">
        <v>0.0</v>
      </c>
      <c r="I4" s="11">
        <v>0.0</v>
      </c>
      <c r="J4" s="11">
        <v>0.0</v>
      </c>
      <c r="K4" s="79"/>
      <c r="L4" s="79"/>
      <c r="M4" s="79"/>
      <c r="O4" s="77"/>
    </row>
    <row r="5">
      <c r="A5" s="78" t="s">
        <v>171</v>
      </c>
      <c r="B5" s="79">
        <v>204.0</v>
      </c>
      <c r="C5" s="79">
        <v>239.0</v>
      </c>
      <c r="D5" s="79">
        <v>205.0</v>
      </c>
      <c r="E5" s="79">
        <v>213.0</v>
      </c>
      <c r="F5" s="79">
        <v>177.0</v>
      </c>
      <c r="G5" s="79">
        <v>170.0</v>
      </c>
      <c r="H5" s="11">
        <v>229.0</v>
      </c>
      <c r="I5" s="11">
        <v>201.0</v>
      </c>
      <c r="J5" s="11">
        <v>120.0</v>
      </c>
      <c r="K5" s="79"/>
      <c r="L5" s="79"/>
      <c r="M5" s="79"/>
      <c r="O5" s="77"/>
    </row>
    <row r="6">
      <c r="A6" s="78" t="s">
        <v>172</v>
      </c>
      <c r="B6" s="79">
        <v>0.0</v>
      </c>
      <c r="C6" s="79">
        <v>0.0</v>
      </c>
      <c r="D6" s="79">
        <v>0.0</v>
      </c>
      <c r="E6" s="79">
        <v>0.0</v>
      </c>
      <c r="F6" s="79">
        <v>0.0</v>
      </c>
      <c r="G6" s="79">
        <v>0.0</v>
      </c>
      <c r="H6" s="11">
        <v>0.0</v>
      </c>
      <c r="I6" s="11">
        <v>0.0</v>
      </c>
      <c r="J6" s="11">
        <v>0.0</v>
      </c>
      <c r="K6" s="79"/>
      <c r="L6" s="79"/>
      <c r="M6" s="79"/>
      <c r="O6" s="77"/>
    </row>
    <row r="7">
      <c r="A7" s="76" t="s">
        <v>15</v>
      </c>
      <c r="B7" s="76">
        <f t="shared" ref="B7:M7" si="1">SUM(B3:B6)</f>
        <v>455</v>
      </c>
      <c r="C7" s="76">
        <f t="shared" si="1"/>
        <v>451</v>
      </c>
      <c r="D7" s="76">
        <f t="shared" si="1"/>
        <v>358</v>
      </c>
      <c r="E7" s="76">
        <f t="shared" si="1"/>
        <v>368</v>
      </c>
      <c r="F7" s="76">
        <f t="shared" si="1"/>
        <v>397</v>
      </c>
      <c r="G7" s="76">
        <f t="shared" si="1"/>
        <v>351</v>
      </c>
      <c r="H7" s="76">
        <f t="shared" si="1"/>
        <v>404</v>
      </c>
      <c r="I7" s="76">
        <f t="shared" si="1"/>
        <v>365</v>
      </c>
      <c r="J7" s="76">
        <f t="shared" si="1"/>
        <v>242</v>
      </c>
      <c r="K7" s="76">
        <f t="shared" si="1"/>
        <v>0</v>
      </c>
      <c r="L7" s="76">
        <f t="shared" si="1"/>
        <v>0</v>
      </c>
      <c r="M7" s="76">
        <f t="shared" si="1"/>
        <v>0</v>
      </c>
      <c r="O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</row>
    <row r="10">
      <c r="B10" s="76" t="s">
        <v>155</v>
      </c>
      <c r="C10" s="76" t="s">
        <v>156</v>
      </c>
      <c r="D10" s="76" t="s">
        <v>157</v>
      </c>
      <c r="E10" s="76" t="s">
        <v>158</v>
      </c>
      <c r="F10" s="76" t="s">
        <v>159</v>
      </c>
      <c r="G10" s="76" t="s">
        <v>160</v>
      </c>
      <c r="H10" s="76" t="s">
        <v>161</v>
      </c>
      <c r="I10" s="76" t="s">
        <v>162</v>
      </c>
      <c r="J10" s="76" t="s">
        <v>163</v>
      </c>
      <c r="K10" s="76" t="s">
        <v>164</v>
      </c>
      <c r="L10" s="76" t="s">
        <v>165</v>
      </c>
      <c r="M10" s="76" t="s">
        <v>166</v>
      </c>
      <c r="N10" s="77"/>
      <c r="O10" s="77"/>
    </row>
    <row r="11">
      <c r="A11" s="76" t="s">
        <v>167</v>
      </c>
      <c r="B11" s="76" t="s">
        <v>173</v>
      </c>
      <c r="C11" s="76" t="s">
        <v>173</v>
      </c>
      <c r="D11" s="76" t="s">
        <v>173</v>
      </c>
      <c r="E11" s="76" t="s">
        <v>173</v>
      </c>
      <c r="F11" s="76" t="s">
        <v>173</v>
      </c>
      <c r="G11" s="76" t="s">
        <v>173</v>
      </c>
      <c r="H11" s="76" t="s">
        <v>173</v>
      </c>
      <c r="I11" s="76" t="s">
        <v>173</v>
      </c>
      <c r="J11" s="76" t="s">
        <v>173</v>
      </c>
      <c r="K11" s="76" t="s">
        <v>173</v>
      </c>
      <c r="L11" s="76" t="s">
        <v>173</v>
      </c>
      <c r="M11" s="76" t="s">
        <v>173</v>
      </c>
      <c r="N11" s="77"/>
      <c r="O11" s="77"/>
    </row>
    <row r="12">
      <c r="A12" s="78" t="s">
        <v>169</v>
      </c>
      <c r="B12" s="79">
        <v>420.0</v>
      </c>
      <c r="C12" s="79">
        <v>365.0</v>
      </c>
      <c r="D12" s="79">
        <v>253.0</v>
      </c>
      <c r="E12" s="79">
        <v>229.0</v>
      </c>
      <c r="F12" s="79">
        <v>315.0</v>
      </c>
      <c r="G12" s="79">
        <v>254.0</v>
      </c>
      <c r="H12" s="11">
        <v>282.0</v>
      </c>
      <c r="I12" s="11">
        <v>291.0</v>
      </c>
      <c r="J12" s="11">
        <v>195.0</v>
      </c>
      <c r="K12" s="79"/>
      <c r="L12" s="79"/>
      <c r="M12" s="79"/>
      <c r="N12" s="77"/>
      <c r="O12" s="77"/>
    </row>
    <row r="13">
      <c r="A13" s="78" t="s">
        <v>170</v>
      </c>
      <c r="B13" s="79">
        <v>0.0</v>
      </c>
      <c r="C13" s="79">
        <v>0.0</v>
      </c>
      <c r="D13" s="79">
        <v>0.0</v>
      </c>
      <c r="E13" s="79">
        <v>0.0</v>
      </c>
      <c r="F13" s="79">
        <v>0.0</v>
      </c>
      <c r="G13" s="79">
        <v>0.0</v>
      </c>
      <c r="H13" s="11">
        <v>0.0</v>
      </c>
      <c r="I13" s="11">
        <v>0.0</v>
      </c>
      <c r="J13" s="11">
        <v>0.0</v>
      </c>
      <c r="K13" s="79"/>
      <c r="L13" s="79"/>
      <c r="M13" s="79"/>
      <c r="N13" s="77"/>
      <c r="O13" s="77"/>
    </row>
    <row r="14">
      <c r="A14" s="78" t="s">
        <v>171</v>
      </c>
      <c r="B14" s="79">
        <v>430.0</v>
      </c>
      <c r="C14" s="79">
        <v>457.0</v>
      </c>
      <c r="D14" s="79">
        <v>380.0</v>
      </c>
      <c r="E14" s="79">
        <v>451.0</v>
      </c>
      <c r="F14" s="79">
        <v>458.0</v>
      </c>
      <c r="G14" s="79">
        <v>410.0</v>
      </c>
      <c r="H14" s="11">
        <v>570.0</v>
      </c>
      <c r="I14" s="11">
        <v>635.0</v>
      </c>
      <c r="J14" s="11">
        <v>467.0</v>
      </c>
      <c r="K14" s="79"/>
      <c r="L14" s="79"/>
      <c r="M14" s="79"/>
      <c r="N14" s="77"/>
      <c r="O14" s="77"/>
    </row>
    <row r="15">
      <c r="A15" s="78" t="s">
        <v>172</v>
      </c>
      <c r="B15" s="79">
        <v>0.0</v>
      </c>
      <c r="C15" s="79">
        <v>0.0</v>
      </c>
      <c r="D15" s="79">
        <v>0.0</v>
      </c>
      <c r="E15" s="79">
        <v>0.0</v>
      </c>
      <c r="F15" s="79">
        <v>0.0</v>
      </c>
      <c r="G15" s="79">
        <v>0.0</v>
      </c>
      <c r="H15" s="11">
        <v>0.0</v>
      </c>
      <c r="I15" s="11">
        <v>0.0</v>
      </c>
      <c r="J15" s="11">
        <v>0.0</v>
      </c>
      <c r="K15" s="79"/>
      <c r="L15" s="79"/>
      <c r="M15" s="79"/>
      <c r="N15" s="77"/>
      <c r="O15" s="77"/>
    </row>
    <row r="16">
      <c r="A16" s="76" t="s">
        <v>15</v>
      </c>
      <c r="B16" s="76">
        <f t="shared" ref="B16:M16" si="2">SUM(B12:B15)</f>
        <v>850</v>
      </c>
      <c r="C16" s="76">
        <f t="shared" si="2"/>
        <v>822</v>
      </c>
      <c r="D16" s="76">
        <f t="shared" si="2"/>
        <v>633</v>
      </c>
      <c r="E16" s="76">
        <f t="shared" si="2"/>
        <v>680</v>
      </c>
      <c r="F16" s="76">
        <f t="shared" si="2"/>
        <v>773</v>
      </c>
      <c r="G16" s="76">
        <f t="shared" si="2"/>
        <v>664</v>
      </c>
      <c r="H16" s="76">
        <f t="shared" si="2"/>
        <v>852</v>
      </c>
      <c r="I16" s="76">
        <f t="shared" si="2"/>
        <v>926</v>
      </c>
      <c r="J16" s="76">
        <f t="shared" si="2"/>
        <v>662</v>
      </c>
      <c r="K16" s="76">
        <f t="shared" si="2"/>
        <v>0</v>
      </c>
      <c r="L16" s="76">
        <f t="shared" si="2"/>
        <v>0</v>
      </c>
      <c r="M16" s="76">
        <f t="shared" si="2"/>
        <v>0</v>
      </c>
      <c r="N16" s="77"/>
      <c r="O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</row>
  </sheetData>
  <drawing r:id="rId1"/>
</worksheet>
</file>