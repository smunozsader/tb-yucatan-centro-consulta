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2" sheetId="1" r:id="rId4"/>
    <sheet state="visible" name="Hoja1" sheetId="2" r:id="rId5"/>
    <sheet state="visible" name="page 1" sheetId="3" r:id="rId6"/>
  </sheets>
  <definedNames>
    <definedName hidden="1" localSheetId="2" name="_xlnm._FilterDatabase">'page 1'!$A$1:$J$102</definedName>
  </definedNames>
  <calcPr/>
  <pivotCaches>
    <pivotCache cacheId="0" r:id="rId7"/>
  </pivotCaches>
  <extLst>
    <ext uri="GoogleSheetsCustomDataVersion2">
      <go:sheetsCustomData xmlns:go="http://customooxmlschemas.google.com/" r:id="rId8" roundtripDataChecksum="xb12IjyoqgZQbp4Zj97XWT10VdGRK93AtEDbbYrGxdg="/>
    </ext>
  </extLst>
</workbook>
</file>

<file path=xl/sharedStrings.xml><?xml version="1.0" encoding="utf-8"?>
<sst xmlns="http://schemas.openxmlformats.org/spreadsheetml/2006/main" count="923" uniqueCount="368">
  <si>
    <t>No.</t>
  </si>
  <si>
    <t>ACUERDO</t>
  </si>
  <si>
    <t>ACUERDO2</t>
  </si>
  <si>
    <t>RESPONSABLE</t>
  </si>
  <si>
    <t>FECHA DE CUMPLIMIENTO</t>
  </si>
  <si>
    <t>ESTATUS</t>
  </si>
  <si>
    <t>Días</t>
  </si>
  <si>
    <t xml:space="preserve">Mes </t>
  </si>
  <si>
    <t>Año</t>
  </si>
  <si>
    <t>Tipo de Sesión</t>
  </si>
  <si>
    <t>YUC/18-ENE-25/CESO-001</t>
  </si>
  <si>
    <t>Se dará seguimiento a la validación por parte del Gobierno del Estado a las organizaciones ganaderas (retomar tabla de la 5ta sesión extraordinaria )</t>
  </si>
  <si>
    <t xml:space="preserve">Gobierno del Estado </t>
  </si>
  <si>
    <t>Pendiente</t>
  </si>
  <si>
    <t>18va Ordinaria</t>
  </si>
  <si>
    <t>YUC/18-ENE-25/CESO-003</t>
  </si>
  <si>
    <t>Se retomará el seguimiento del Acuerdo relacionado con la suspensión de PSG´s que no han actualizado o terminado su trámite en las ventanillas (oficio 447/24 de SESER) Acuerdo YUC/29-AGO-24/CESO-001</t>
  </si>
  <si>
    <t>MVZ. Francis A. Genovez Chanona</t>
  </si>
  <si>
    <t>YUC/18-ENE-25/CESO-007</t>
  </si>
  <si>
    <t>Homologar formato de presentación (ventanilla oriente)</t>
  </si>
  <si>
    <t xml:space="preserve">MVZ. Francis A. Genovez </t>
  </si>
  <si>
    <t>YUC/28-ABR-25/CESO-001</t>
  </si>
  <si>
    <t>En caso de que un TIA no regrese los aretes o la documentación dentro del plazo de 15 días naturales autorizados, se le suspenderá en caso de reincidir por 3 (tres) ocasiones, previa revisión y análisis de cada caso (seguimiento YUC/20-SEPT-24/CESO-004)</t>
  </si>
  <si>
    <t>Permanente</t>
  </si>
  <si>
    <t>19va Ordinaria</t>
  </si>
  <si>
    <t>YUC/28-ABR-25/CESO-002</t>
  </si>
  <si>
    <t>Enviar presentaciones elaboradas por la VAS Centro de Yucatán y Vas Oriente de Yucatán por lo menos 3 días antes de la Sesión para su revisión y análisis por los integrantes del CESO.</t>
  </si>
  <si>
    <t>YUC/28-ABR-25/CESO-003</t>
  </si>
  <si>
    <t>Presentar por separado las situación de las PSG´s, agregando una columna para diferenciar las ya existentes y las de nuevo reconocimiento.</t>
  </si>
  <si>
    <t>Próxima reunión</t>
  </si>
  <si>
    <t>YUC/28-ABR-25/CESO-004</t>
  </si>
  <si>
    <t>Envío de base de datos de PSG´s para programar reunión extraordinaria para depuración de la misma, previa revisión y análisis.</t>
  </si>
  <si>
    <t>YUC/28-ABR-25/CESO-005</t>
  </si>
  <si>
    <t>Revisar información con el Comité Estatal de Fomento y Protección Pecuaria de Yucatán, S.C.P. para solicitar al SINIIGA el cierre de municipios por motivo de barrido.</t>
  </si>
  <si>
    <t>Ing. Juan Carlos Rodríguez Andrade</t>
  </si>
  <si>
    <t>YUC/28-ABR-25/CESO-006</t>
  </si>
  <si>
    <t>Presentar el estatus de los acuerdos alcanzados en las sesiones del CESO mediante la elaboración de un presentación.</t>
  </si>
  <si>
    <t>Ing. Abigail Estrada Estrada</t>
  </si>
  <si>
    <t>YUC/28-ABR-25/CESO-007</t>
  </si>
  <si>
    <t>Una vez enviada la propuesta de Acta de cada sesión se contará con 3 días hábiles para la emisión de comentarios u observaciones, en caso no recibirse respuesta, se considerará validada.</t>
  </si>
  <si>
    <t>Todos los integrantes</t>
  </si>
  <si>
    <t>YUC/02-JUL-25/CESO-001</t>
  </si>
  <si>
    <t>En municipios que ya se encuentren cerrados por concepto de constatación progresiva de hatos (barrido) de tuberculosis bovina, no se dará de alta ni se actualizará ninguna unidad de producción pecuaria que no demuestre fehacientemente que los animales ya fueron muestreados.</t>
  </si>
  <si>
    <t>YUC/02-JUL-25/CESO-002</t>
  </si>
  <si>
    <t xml:space="preserve">La unidad de producción pecuaria que no participó en el proceso de constatación progresiva de hatos (barrido) de tuberculosis bovina, serán suspendidas y para su reactivación se deberá cumplir con el protocolo establecido para tal fin. </t>
  </si>
  <si>
    <t>YUC/02-JUL-25/CESO-003</t>
  </si>
  <si>
    <t>Se realizará una reunión entre SINIIGA y SEDER para revisión, análisis y depuración de prestadores de servicios ganaderos.</t>
  </si>
  <si>
    <t>Ing. Juan Carlos Rodríguez Andrade 
MVZ. Francis A. Genovez Chanona</t>
  </si>
  <si>
    <t>Semana del 7 al 12 de julio de 2025.</t>
  </si>
  <si>
    <t>YUC/02-JUL-25/CESO-004</t>
  </si>
  <si>
    <t>La Dirección de Sanidad Agropecuaria solicitará al SINIIGA la baja de los centros de acopio para exportación.</t>
  </si>
  <si>
    <t>YUC/02-JUL -25/CESO-005</t>
  </si>
  <si>
    <t>Incluir en las presentaciones un mapa en el que se aprecien los municipios en los que se está llevando a cabo la constatación progresiva de hatos (barrido) de tuberculosis bovina.</t>
  </si>
  <si>
    <t>Próxima sesión</t>
  </si>
  <si>
    <t>YUC/02-JUL -25/CESO-006</t>
  </si>
  <si>
    <t>La VAS Centro, revisará la información presentada con relación a los identificadores entregados solicitados – capturados contra los aplicados por TIA´s y PIA´s  por la diferencia entre estos reportes.</t>
  </si>
  <si>
    <t>A la brevedad</t>
  </si>
  <si>
    <t>YUC/02-JUL -25/CESO-007</t>
  </si>
  <si>
    <t>Se enviará al Coordinador Peninsular del SINIIGA el Acta USDA – APHIS para sustento de suspensión de unidad de producción pecuaria por no haber participado en la constatación progresiva de hatos (barrido) de tuberculosis bovina.</t>
  </si>
  <si>
    <t>Cuenta de RESPONSABLE</t>
  </si>
  <si>
    <t>Etiquetas de fila</t>
  </si>
  <si>
    <t>18° Sesión ordinaria CONCLUIDO</t>
  </si>
  <si>
    <t>Estatus</t>
  </si>
  <si>
    <t>18° Sesión ordinaria CONCLUIDO (se presentó un informe general por parte de la Ventanilla centro)</t>
  </si>
  <si>
    <t>Parcialmente cumplido</t>
  </si>
  <si>
    <t>18° Sesión ordinaria Parcialmente Concluido Se aclaró que la información que se requiere es el estado de destino, motivo y número de cabezas.
Se presentó oficio OFP037/2025</t>
  </si>
  <si>
    <t>Cumplido</t>
  </si>
  <si>
    <t>Total</t>
  </si>
  <si>
    <t>Grand Total</t>
  </si>
  <si>
    <t>CE-YUC-281122-001</t>
  </si>
  <si>
    <t>Instalación del CESO en Yucatán.</t>
  </si>
  <si>
    <t>MVZ. María del Refugio Medina Juárez</t>
  </si>
  <si>
    <t>28/11/2022</t>
  </si>
  <si>
    <t>Instalación</t>
  </si>
  <si>
    <t xml:space="preserve"> - </t>
  </si>
  <si>
    <t>CE-YUC-281122-002</t>
  </si>
  <si>
    <t>Los integrantes del CESO se dan por enterado acerca del manual de
funcionamiento del CESO.</t>
  </si>
  <si>
    <t>CE-YUC-281122-003</t>
  </si>
  <si>
    <t>Se da a conocer el inventario de identificadores de las Ventanillas en el Estado.</t>
  </si>
  <si>
    <t>CE-YUC-281122-004</t>
  </si>
  <si>
    <t>Siguiente reunión de trabajo</t>
  </si>
  <si>
    <t>05/12/2022</t>
  </si>
  <si>
    <t>CE-YUC-051222-001</t>
  </si>
  <si>
    <t>El Centro Operativo Nacional (CON) enviará la base de datos del 56% de las claves
de UPP que requieren actualización para este 2023. Dicha base debe contener clave de UPP, Productor, Municipio, Localidad, Inventario y última fecha de actualización.</t>
  </si>
  <si>
    <t>M.V.Z. Francis A. Genovez Chanona</t>
  </si>
  <si>
    <t>08/12/2022</t>
  </si>
  <si>
    <t>1ra Ordinaria</t>
  </si>
  <si>
    <t>CE-YUC-051222-002</t>
  </si>
  <si>
    <t>Se convocará a reunión el 10/12/2022, con los Presidentes de las AGL correspondientes a la Unión Ganadera Regional de Yucatán (UGRY), con la finalidad de informarles acerca del CESO y las disposiciones de identificación en lo futuro.</t>
  </si>
  <si>
    <t>10/12/2022</t>
  </si>
  <si>
    <t>CE-YUC-051222-003</t>
  </si>
  <si>
    <t>Se convocará a reunión el 11/12/2022, con los Presidentes de las AGL correspondientes a la Unión Ganadera Regional del Oriente de Yucatán (UGROY), con la finalidad de informarles acerca del CESO y las disposiciones de identificación en lo futuro.</t>
  </si>
  <si>
    <t>11/12/2022</t>
  </si>
  <si>
    <t>CE-YUC-051222-004</t>
  </si>
  <si>
    <t>Las sesiones del 2023 se realizarán el primer jueves de cada mes.</t>
  </si>
  <si>
    <t>todo el 2023</t>
  </si>
  <si>
    <t>CE-YUC-100123-001</t>
  </si>
  <si>
    <t>Reunión extraordinaria a las 8:00 horas. para definir estrategia de atención a
claves de UPP que deben actualizar en PGN y BCI.</t>
  </si>
  <si>
    <t>24/01/2023</t>
  </si>
  <si>
    <t>2da Ordinaria</t>
  </si>
  <si>
    <t>CE-YUC-100123-002</t>
  </si>
  <si>
    <t>Definir estrategia de fortalecimiento de identificación de Colmenas</t>
  </si>
  <si>
    <t>02/02/2023</t>
  </si>
  <si>
    <t>CE-YUC-100123-003</t>
  </si>
  <si>
    <t>Permitir la identificación del 100% de animales en las claves de UPP (por única vez) en éste 2023.</t>
  </si>
  <si>
    <t>todo 2023</t>
  </si>
  <si>
    <t>CE-YUC-100123-004</t>
  </si>
  <si>
    <t>Después del 100% de identificación de la UPP, la siguiente ocasión, debe solicitar únicamente  identificar incremento natural y rearetados.</t>
  </si>
  <si>
    <t>CE-YUC-100123-005</t>
  </si>
  <si>
    <t>Reunión con la AGL de Tízimin para informar acerca del CESO y las actividades que desarrollarán en la operación del programa.</t>
  </si>
  <si>
    <t>25/01/2023</t>
  </si>
  <si>
    <t>CE-YUC-100123-006</t>
  </si>
  <si>
    <t>Próxima reunión ordinaria</t>
  </si>
  <si>
    <t>CE-YUC-240123-001</t>
  </si>
  <si>
    <t>Propuesta de fotografía para validar identificación</t>
  </si>
  <si>
    <t>Ing. Gerardo Solis Pasos</t>
  </si>
  <si>
    <t>1ra Extraordinaria</t>
  </si>
  <si>
    <t>CE-YUC-240123-002</t>
  </si>
  <si>
    <t>Proponer reunión entre representantes de CESO entre Campeche, Yucatán y Quintana Roo</t>
  </si>
  <si>
    <t>CE-YUC-020223-001</t>
  </si>
  <si>
    <t>El representante de Gobierno del Estado se dará a la tarea de solicitar
autorización para establecer subsidio del 50% en la adquisición de los identificadores de Colmenas.</t>
  </si>
  <si>
    <t>próxima reunión</t>
  </si>
  <si>
    <t xml:space="preserve">3ra Ordinaria </t>
  </si>
  <si>
    <t>CE-YUC-020223-002</t>
  </si>
  <si>
    <t>Se pondrá a disposición de la mesa la propuesta de lona publicitaria, donde se establezcan los servicios y costos de los mismos en cada Espacio de Atención.</t>
  </si>
  <si>
    <t>02/03/2023</t>
  </si>
  <si>
    <t>cumplido</t>
  </si>
  <si>
    <t>CE-YUC-020223-003</t>
  </si>
  <si>
    <t>Proponer la lista de elementos técnicos, administrativos y operativos, con los cuales  deben  contar  los  Espacios  de  Atención  para  otorgar  los  servicios  de calidad.</t>
  </si>
  <si>
    <t>CE-YUC-020223-004</t>
  </si>
  <si>
    <t>Se  establecerá  la  bitácora  correspondiente  de  solicitudes  de  información  que lleguen a éste consejo.</t>
  </si>
  <si>
    <t>CE-YUC-020223-005</t>
  </si>
  <si>
    <t>La invitación del Presidente de la AGL de Súcila, la responderá el Presidente de éste Consejo. Así como la carta del productor Susano López la responderá el Secretario Técnico del mismo.</t>
  </si>
  <si>
    <t>06/02/2023</t>
  </si>
  <si>
    <t>CE-YUC-020223-006</t>
  </si>
  <si>
    <t>Se envía a los integrantes del Consejo la propuesta de Carta compromiso del productor, para apoyar a cumplir la trazabilidad en el Estado, para recibir observaciones hasta el 6 de febrero próximo para definir formato y autorizarlo.</t>
  </si>
  <si>
    <t>CE-YUC-020223-007</t>
  </si>
  <si>
    <t>Se presentará en la siguiente reunión programa de Cursos de capacitación de TIA
y PIA.</t>
  </si>
  <si>
    <t>CE-YUC-020323-001</t>
  </si>
  <si>
    <t>Modificación de la redacción del orden del día en el punto 10. Simplemente
queda como acuerdos.</t>
  </si>
  <si>
    <t>4ta Ordinaria</t>
  </si>
  <si>
    <t>CE-YUC-020323-002</t>
  </si>
  <si>
    <t>Los jefes VAS de Yucatán serán invitados permanentes de éste Consejo.</t>
  </si>
  <si>
    <t>permanente</t>
  </si>
  <si>
    <t>CE-YUC-020323-003</t>
  </si>
  <si>
    <t>Los jefe VAS deberán reportar de manera mensual las actividades operativas realizadas en sus respectivos Espacios de Atención.</t>
  </si>
  <si>
    <t>CE-YUC-020323-004</t>
  </si>
  <si>
    <t>Gobierno del Estado emitirá dictámen para registro de actividad de las PSG.</t>
  </si>
  <si>
    <t>CE-YUC-020323-005</t>
  </si>
  <si>
    <t>Se atenderá la queja de productor Diego A. Loria Gil involucrado en abuso de confianza en el uso de su clave de UPP.</t>
  </si>
  <si>
    <t>CE-YUC-020323-006</t>
  </si>
  <si>
    <t>Se invitará al presidente y usuario de REEMO de la AGL de Buctzotz involucrado en el caso del productor Diego A. Loria Gil.</t>
  </si>
  <si>
    <t>CE-YUC-020323-007</t>
  </si>
  <si>
    <t>Actualización del convenio de colaboración REEMO entre las Uniones
Ganaderas Regionales y el Gobierno del Estado.</t>
  </si>
  <si>
    <t>Dr. Roger Díaz</t>
  </si>
  <si>
    <t>04/04/2023</t>
  </si>
  <si>
    <t>CE-YUC-020323-008</t>
  </si>
  <si>
    <t>Propuesta de protocolo de movilización con guía REEMO.</t>
  </si>
  <si>
    <t>CE-YUC-040423-001</t>
  </si>
  <si>
    <t>Enviar 24 horas antes de cada reunión la información correspondiente de las reuniones, para conocimiento de los integrantes.</t>
  </si>
  <si>
    <t>5ta Ordinaria</t>
  </si>
  <si>
    <t>CE-YUC-040423-002</t>
  </si>
  <si>
    <t>Enviar información de listas de PSG a Gobierno del Estado para validación.</t>
  </si>
  <si>
    <t>Jefes de Ventanilla</t>
  </si>
  <si>
    <t>11/04/2023</t>
  </si>
  <si>
    <t>CE-YUC-040423-003</t>
  </si>
  <si>
    <t>Presentar información de identificadores recolectados de rastros, cotejada
con guías REEMO (destino rastro) y la cantidad de matanza reportado por CFPP</t>
  </si>
  <si>
    <t>CE-YUC-040423-004</t>
  </si>
  <si>
    <t>Definir variables para análisis de reporte de actividades de TIA</t>
  </si>
  <si>
    <t>CE-YUC-040423-005</t>
  </si>
  <si>
    <t>Atención de la queja presentada por Eduardo J. Ándres Gonzalez, consiste en la validación de reseña  de 48 identificadores bovinos en sistema.</t>
  </si>
  <si>
    <t>MVZ. Ángel M. Castillo Camal</t>
  </si>
  <si>
    <t>CE-YUC-040523-001</t>
  </si>
  <si>
    <t>Reunión de trabajo para definir convenio REEMO entre gobierno del Estado y las
Uniones Ganaderas Regionales. Área Jurídica SEDER.</t>
  </si>
  <si>
    <t>04/05/2023</t>
  </si>
  <si>
    <t>6ta Ordinaria</t>
  </si>
  <si>
    <t>CE-YUC-040523-002</t>
  </si>
  <si>
    <t>Exponer a éste Consejo la operación de los TIA, así como sus responsabilidades</t>
  </si>
  <si>
    <t>CE-YUC-040523-003</t>
  </si>
  <si>
    <t>Actualizar la clave de PSG de la Subasta Ganadera de Tizimín.</t>
  </si>
  <si>
    <t>CE-YUC-040523-004</t>
  </si>
  <si>
    <t>Reportar mensualmente los registros y actualizaciones así como la asignación de identificadores por especie.</t>
  </si>
  <si>
    <t>CE-YUC-040523-005</t>
  </si>
  <si>
    <t>Reunión de trabajo para tratar las recomendaciones de Aphis-USDA.</t>
  </si>
  <si>
    <t>12/05/2023</t>
  </si>
  <si>
    <t>CE-YUC-060723-001</t>
  </si>
  <si>
    <t>Rutas de barrido de acuerdo a la identificación animal en las comunidades</t>
  </si>
  <si>
    <t>Lic. Leticia Loria Medrano</t>
  </si>
  <si>
    <t>a la brevedad</t>
  </si>
  <si>
    <t>8va Ordinaria</t>
  </si>
  <si>
    <t>7ma Reunion ordinaria del 1ro de junio no se generarón acuerdos</t>
  </si>
  <si>
    <t>CE-YUC-060723-002</t>
  </si>
  <si>
    <t>Coordinación entre la Ventanilla Oriente de Yucatán con los enlaces de CFPP (MVZ. Oscar Correa XXX) y SEDER (MVZ. Moíses Martín Sima) para barrido en Tizimín.</t>
  </si>
  <si>
    <t>CE-YUC-060723-003</t>
  </si>
  <si>
    <t>Estrategia de apoyo en la adquisición de identificadores para barrido</t>
  </si>
  <si>
    <t>03/08/2023</t>
  </si>
  <si>
    <t>CE-YUC-060723-004</t>
  </si>
  <si>
    <t>Visita a PSG de Buctzotz para depuración de inventario en BCI y validación de los requisitos de operación.</t>
  </si>
  <si>
    <t>pendiente fecha</t>
  </si>
  <si>
    <t>CE-YUC-030823-001</t>
  </si>
  <si>
    <t>Agregar concepto Autorizado por SEDER y actualizado por SINIIGA, para las
claves de PSG en el Estado.</t>
  </si>
  <si>
    <t>9na Ordinaria</t>
  </si>
  <si>
    <t>CE-YUC-030823-002</t>
  </si>
  <si>
    <t>Consulta a SENASICA el tema de la reasignación de identificadores del predio
Cuarentenado del productor José Eduardo Andrés Gonzalez.</t>
  </si>
  <si>
    <t>MVZ. Victor Calderón Jiménez</t>
  </si>
  <si>
    <t>11/09/2023</t>
  </si>
  <si>
    <t>CE-YUC-030823-003</t>
  </si>
  <si>
    <t>Presentar las claves de PSG vigentes de bovinos y colmenas.</t>
  </si>
  <si>
    <t>CE-YUC-110923-001</t>
  </si>
  <si>
    <t>Validar las actualizaciones de las claves de UPP de bovinos y colmenas</t>
  </si>
  <si>
    <t>05/10/2023</t>
  </si>
  <si>
    <t>10ma Ordinaria</t>
  </si>
  <si>
    <t>CE-YUC-110923-002</t>
  </si>
  <si>
    <t>Reportar la fecha de la última actualización de las claves de PSG.</t>
  </si>
  <si>
    <t>CE-YUC-110923-003</t>
  </si>
  <si>
    <t>Estrategia para la recolección de identificadores de rastros en Oriente</t>
  </si>
  <si>
    <t>CE-YUC-110923-004</t>
  </si>
  <si>
    <t>Incorporar en la firma de actas,  los anexos de cada reunión.</t>
  </si>
  <si>
    <t>CE-YUC-051023-001</t>
  </si>
  <si>
    <t>Enviar a Gobierno del Estado las 44 claves de PSG de sacrificio vigentes en el estado.</t>
  </si>
  <si>
    <t>09/10/2023</t>
  </si>
  <si>
    <t>11va Ordinaria</t>
  </si>
  <si>
    <t>CE-YUC-051023-002</t>
  </si>
  <si>
    <t>Enviar a Gobierno del Estado el reporte de identificadores ubicados en las claves de PSG P08.</t>
  </si>
  <si>
    <t>CE-YUC-061123-001</t>
  </si>
  <si>
    <t>Modificación del orden del día, incluyendo en asuntos generales el tema de plataforma SENASICA.</t>
  </si>
  <si>
    <t>06/11/2023</t>
  </si>
  <si>
    <t>12va Ordinaria</t>
  </si>
  <si>
    <t>CE-YUC-061123-002</t>
  </si>
  <si>
    <t>Presentar información de las claves de UPP, de acuerdo a las vigentes y su
inventario respectivo</t>
  </si>
  <si>
    <t>proxima reunión</t>
  </si>
  <si>
    <t>CE-YUC-061123-003</t>
  </si>
  <si>
    <t>solicitar la actualización del reporte de claves de UPP vigentes y su
inventario por especie, para realizar el comparativo con años 2021-2023.</t>
  </si>
  <si>
    <t>CE-YUC-061123-004</t>
  </si>
  <si>
    <t>Enviar a Centro Operativo Nacional oficio de suspensión de claves de PSG, las cuales no han actualizado su expediente ante Gobierno del Estado.</t>
  </si>
  <si>
    <t>CE-YUC-071223-001</t>
  </si>
  <si>
    <t>Modificación de orden del día, agregando en asuntos generales temas como amparo de productor Eduardo Andrés y Calendario de reuniones 2024.</t>
  </si>
  <si>
    <t>13va Ordinara</t>
  </si>
  <si>
    <t>CE-YUC-071223-002</t>
  </si>
  <si>
    <t>reunión extraordinaria a las 17:00 horas para tratar avance de barrido.</t>
  </si>
  <si>
    <t>CE-YUC-071223-003</t>
  </si>
  <si>
    <t>Revisión de identificadores de rastro y orden de matanza</t>
  </si>
  <si>
    <t>13/12/2023</t>
  </si>
  <si>
    <t>CE-YUC-071223-004</t>
  </si>
  <si>
    <t>siguiente reunión para inicio de 2024.</t>
  </si>
  <si>
    <t>05/01/2024</t>
  </si>
  <si>
    <t>CE-YUC-181223-001</t>
  </si>
  <si>
    <t>Los integrantes del CESO respetarán los 30 días hábiles para la reestructura del CESO, y con ello, acatar la instrucción total de la Dirección General de Salud Animal.</t>
  </si>
  <si>
    <t>18/12/2023</t>
  </si>
  <si>
    <t>2da Extraordinaria</t>
  </si>
  <si>
    <t>CE-YUC-181223-002</t>
  </si>
  <si>
    <t>Se realizará consulta para definir el tema de los integrantes del CESO, ya que en
los lineamientos para el funcionamiento del CESO del oficio de la DGSA, menciona como integrantes a la OREF de SADER Yucatán o Coordinación General de Ganadería.</t>
  </si>
  <si>
    <t>MVZ. Alejandra Reyes Saucedo</t>
  </si>
  <si>
    <t>18/01/2024</t>
  </si>
  <si>
    <t>CE-YUC-180124-001</t>
  </si>
  <si>
    <t>Agregar al reporte mensual el inventario de las claves de UPP actualizadas.</t>
  </si>
  <si>
    <t>14va Ordinaria</t>
  </si>
  <si>
    <t>CE-YUC-180124-002</t>
  </si>
  <si>
    <t>Enviar lista de UPP con asignación de identificadores a TIA, agregando si son altas o actualizaciones en el PGN.</t>
  </si>
  <si>
    <t>CE-YUC-180124-003</t>
  </si>
  <si>
    <t>Proponer la modificación de formatos para reporte mensual de Ventanillas</t>
  </si>
  <si>
    <t>MVZ. Jose Joaquin Peral Rodríguez</t>
  </si>
  <si>
    <t>CE-YUC-180124-004</t>
  </si>
  <si>
    <t>Presentar reporte de REEMO con destino a rastros en el 2023.</t>
  </si>
  <si>
    <t>CE-YUC-180124-005</t>
  </si>
  <si>
    <t>Presentar calendario para reuniones de 2024.</t>
  </si>
  <si>
    <t>CE-YUC-180124-006</t>
  </si>
  <si>
    <t>Para los productores que quieran regularizar su situación ante el PGN (alta o actualización) y SINIIGA (identificación al 100% del hato), debe solicitar visita de campo a la Ventanilla y está se coordinará con SEDER.</t>
  </si>
  <si>
    <t>19/01/2024</t>
  </si>
  <si>
    <t>CE-YUC-180124-007</t>
  </si>
  <si>
    <t>Enviar el Directorio de Ventanillas SINIIGA y de Centros Expeditores de REEMO</t>
  </si>
  <si>
    <t>CE-YUC-180124-008</t>
  </si>
  <si>
    <t>Presentar propuesta de plan de trabajo para 2024.</t>
  </si>
  <si>
    <t>YUC/07-FEB-24/CESO-001</t>
  </si>
  <si>
    <t>Los integrantes del Consejo se dan por enterados de la  Circular N°B00.02.-005-2024 emitida por la Dirección General de Salud Animal, así como, de los Lineamientos firmados el 19 de enero de 2024 y publicados en las páginas electrónicas de AGRICULTURA y SENASICA el 23 de enero de 2024.</t>
  </si>
  <si>
    <t>02</t>
  </si>
  <si>
    <t>3ra Extraordinaria</t>
  </si>
  <si>
    <t>YUC/07-FEB-24/CESO-002</t>
  </si>
  <si>
    <t>Se realiza la interpretación del punto D. SESIONES DEL CONSEJO ESTATAL DE SEGUIMIENTO OPERATIVO, inciso d, para precisar que se refiere  al 50% (por ciento) más uno de los integrantes del Consejo.</t>
  </si>
  <si>
    <t>Mtro. Orlando Arellano Muraoka</t>
  </si>
  <si>
    <t>YUC/07-FEB-24/CESO-003</t>
  </si>
  <si>
    <t>El CESO fue reestructurado de acuerdo a los Lineamientos referidos.</t>
  </si>
  <si>
    <t>YUC/07-FEB-24/CESO-004</t>
  </si>
  <si>
    <t xml:space="preserve">Los integrantes del CESO designaron a sus suplentes como se establece en el punto 5 de la presente acta, quienes enviaron a través de oficio dirigido al presidente del CESO dicha designación para su formalización. </t>
  </si>
  <si>
    <t>01/15-FEB-24/CESO-001</t>
  </si>
  <si>
    <t xml:space="preserve">Se convocará a la 4ta sesión extraordinaria a celebrarse el 11 de abril de 22 a las 16:00 hrs. para dar seguimiento a los 14 acuerdos pendientes.  </t>
  </si>
  <si>
    <t>Presidencia – Secretario Técnico</t>
  </si>
  <si>
    <t>04 de abril 2024</t>
  </si>
  <si>
    <t>15va Ordinaria</t>
  </si>
  <si>
    <t>04/15-FEB-24/CESO-003</t>
  </si>
  <si>
    <t>Incluir en las tablas de “ALTAS DE UPP y ALTAS DE PSG” el número de animales con los que se dieron de alta.</t>
  </si>
  <si>
    <t>Jefa y Jefe de Ventanilla</t>
  </si>
  <si>
    <t>04/15-FEB-24/CESO-004</t>
  </si>
  <si>
    <t>En la tabla “Atención Upp´s Por Especie” en la columna “Upp's Histórico” el deglose por “vigentes”, “suspendidas” y “dadas de baja”</t>
  </si>
  <si>
    <t>04/15-FEB-24/CESO-005</t>
  </si>
  <si>
    <t>Se proporcionará el listado de variables para solicitar informes.</t>
  </si>
  <si>
    <t>Sin Acuerdos</t>
  </si>
  <si>
    <t>Dar a conocer el estatus de los acuerdos posterior a la reestructura</t>
  </si>
  <si>
    <t>04</t>
  </si>
  <si>
    <t>4ta Extraordinaria</t>
  </si>
  <si>
    <t>4ta Extraordinaria - Cumplido</t>
  </si>
  <si>
    <t>YUC/11-JUL-24/CESO-001</t>
  </si>
  <si>
    <t>Adecuar la tabla de identificadores entregados, devueltos (Atención de solicitudes de identificadores) VAS Centro</t>
  </si>
  <si>
    <t>MVZ. Francis Genovez Chanona</t>
  </si>
  <si>
    <t>07</t>
  </si>
  <si>
    <t>16va Ordinaria</t>
  </si>
  <si>
    <t>YUC/11-JUL-24/CESO-002</t>
  </si>
  <si>
    <t>Presentar informes por especie (bovinos, colmenas, ovinos, caprinos)</t>
  </si>
  <si>
    <t>YUC/11-JUL-24/CESO-003</t>
  </si>
  <si>
    <t>Informe individual de TÍA, presentar en orden de mayor a menor según identificadores aplicados.</t>
  </si>
  <si>
    <t>YUC/11-JUL-24/CESO-004</t>
  </si>
  <si>
    <t>Se propone suspender de manera “escalonada” según se indica a continuación:</t>
  </si>
  <si>
    <t>Consulta para su procedencia por parte de la MVZ. Alejandra Reyes Saucedo.</t>
  </si>
  <si>
    <t xml:space="preserve">Se realizó reunión extraordinaria el
  29/08/2024, generándose Acta correspondiente.
</t>
  </si>
  <si>
    <t xml:space="preserve">• Suspender las PSG que no se han actualizado a partir del año 2010. Aviso a productores por a través de las Uniones </t>
  </si>
  <si>
    <t>• Suspender de forma escalonada de acuerdo a la tabla y los rangos. Aviso a productores por a través de las Uniones</t>
  </si>
  <si>
    <t>• Activar las PSG suspendidas, previa solicitud del productor y opinión técnica del Gobierno del Estado, de acuerdo a los procedimientos SINIIGA. Aviso a productores por a través de las Uniones</t>
  </si>
  <si>
    <t>• Del año 2022 al actual, aplicar el procedimiento del SINIIGA, para mantener actualizada la base de datos de PSG, de acuerdo a las movilizaciones. Aviso a productores por a través de las Uniones</t>
  </si>
  <si>
    <t>YUC/11-JUL-24/CESO-008</t>
  </si>
  <si>
    <t>Análisis de aretes vigentes de la PSG de Humberto Bermejo</t>
  </si>
  <si>
    <t>Se recibió información mediante correo electrónico y se presentó el análisis durante la sesión.</t>
  </si>
  <si>
    <t>YUC/29-AGO-24/CESO-001</t>
  </si>
  <si>
    <t>El Gobierno del Estado, emitirá oficio dirigido al Centro Operativo Nacional con copia a las ventanillas autorizadas en Yucatán solicitando la suspensión de las 333 PSG´s incluidas en el periodo de 2010 a 2020 del cuadro presentado por la MVZ. María del Refugio Medina Juárez, Titular de la Representación de la Secretaría de Agricultura y Desarrollo Rural en Yucatán.</t>
  </si>
  <si>
    <t>M.Sc. Gerardo Solís Pasos</t>
  </si>
  <si>
    <t xml:space="preserve">Semana del 2 al 6 de septiembre
Se envió oficio DSA 447/2024 del 28 de agosto de 2024, solicitando actualización del padrón de PSG´s
</t>
  </si>
  <si>
    <t>08</t>
  </si>
  <si>
    <t>5ta Extraordinaria</t>
  </si>
  <si>
    <t>Se dará de plazo hasta el 31 de diciembre de 2024, para que las 169 PSG´s del año 2021  se actualicen, en caso contrario, se suspenderán del Padrón Ganadero nacional (PGN).</t>
  </si>
  <si>
    <t>Previo a lo anterior, se pondrán avisos en las ventanillas de atención para conocimiento del público en general.</t>
  </si>
  <si>
    <r>
      <rPr>
        <rFont val="Montserrat"/>
        <color rgb="FF000000"/>
        <sz val="10.0"/>
      </rPr>
      <t xml:space="preserve">Se reitera que a partir del 01 de enero del 2025, con base en la declaración de decir verdad que firma el productor, que a la letra dice: </t>
    </r>
    <r>
      <rPr>
        <rFont val="Montserrat"/>
        <b/>
        <i/>
        <color rgb="FF000000"/>
        <sz val="10.0"/>
      </rPr>
      <t xml:space="preserve">“Declaro  bajo protesta de decir verdad, que los datos contenidos en este formato son ciertos, así mismo, me comprometo a acatar todas las normas vigentes y lineamientos establecidos por la Secretaria de Agricultura y Desarrollo Rural, además de actualizar esta información por lo menos una vez cada dos años, después de obtenida la clave de PSG”, </t>
    </r>
    <r>
      <rPr>
        <rFont val="Montserrat"/>
        <color rgb="FF000000"/>
        <sz val="10.0"/>
      </rPr>
      <t xml:space="preserve">las PSG que incumplan con esta disposición, se suspenderán sin mediar notificación. </t>
    </r>
  </si>
  <si>
    <t>YUC/29-AGO-24/CESO-002</t>
  </si>
  <si>
    <t>SINIIGA proporcionará la base de datos a Gobierno del Estado de PSG´s que cumplieron con el trámite de autorización para integrarlas al programa de supervisión que realiza SEDER a través de la Dirección de Sanidad Agropecuaria.</t>
  </si>
  <si>
    <t>Semana del 2 al 6 de septiembre
Se recibió la inforaicón mediante correo electrónico el 20/09/2024.</t>
  </si>
  <si>
    <t>YUC/20-SEPT-24/CESO-001</t>
  </si>
  <si>
    <t>Se agregará en la dispositiva “Reportes Enero - Agosto de los Servicios del PGN – SINIIGA.”, el reporte de bovinos por etapa productiva:</t>
  </si>
  <si>
    <r>
      <rPr>
        <rFont val="Montserrat"/>
        <color rgb="FF000000"/>
        <sz val="10.0"/>
      </rPr>
      <t xml:space="preserve">18° Sesión ordinaria </t>
    </r>
    <r>
      <rPr>
        <rFont val="Montserrat"/>
        <b/>
        <color rgb="FF000000"/>
        <sz val="8.0"/>
      </rPr>
      <t>CONCLUIDO</t>
    </r>
    <r>
      <rPr>
        <rFont val="Montserrat"/>
        <color rgb="FF000000"/>
        <sz val="8.0"/>
      </rPr>
      <t xml:space="preserve"> (se presentó un informe general por parte de la Ventanilla centro)</t>
    </r>
  </si>
  <si>
    <t>17va Ordinaria</t>
  </si>
  <si>
    <t>YUC/20-SEPT-24/CESO-002</t>
  </si>
  <si>
    <t xml:space="preserve">Se consultará al administrador del Sistema REEMO estatal la factibilidad de generar un reporte detallado </t>
  </si>
  <si>
    <r>
      <rPr>
        <rFont val="Montserrat"/>
        <color rgb="FF000000"/>
        <sz val="10.0"/>
      </rPr>
      <t>18° Sesión ordinaria</t>
    </r>
    <r>
      <rPr>
        <rFont val="Montserrat"/>
        <b/>
        <color rgb="FF000000"/>
        <sz val="10.0"/>
      </rPr>
      <t xml:space="preserve"> Parcialmente Concluido</t>
    </r>
    <r>
      <rPr>
        <rFont val="Montserrat"/>
        <color rgb="FF000000"/>
        <sz val="10.0"/>
      </rPr>
      <t xml:space="preserve"> Se aclaró que la información que se requiere es el estado de destino, motivo y número de cabezas.
Se presentó oficio OFP037/2025</t>
    </r>
  </si>
  <si>
    <t>YUC/20-SEPT-24/CESO-003</t>
  </si>
  <si>
    <t>Se agregará en la dispositiva “Reportes Mensuales de los Servicios del PGN – SINIIGA Atención Upp´s Por Especie.”, la columna de inventario:</t>
  </si>
  <si>
    <r>
      <rPr>
        <rFont val="Montserrat"/>
        <color rgb="FF000000"/>
        <sz val="10.0"/>
      </rPr>
      <t xml:space="preserve">18° Sesión ordinaria </t>
    </r>
    <r>
      <rPr>
        <rFont val="Montserrat"/>
        <b/>
        <color rgb="FF000000"/>
        <sz val="10.0"/>
      </rPr>
      <t>CONCLUIDO</t>
    </r>
  </si>
  <si>
    <t>YUC/20-SEPT-24/CESO-004</t>
  </si>
  <si>
    <t>Con base en el reporte de informe individual de TIA se aplicará lo referido en el procedimiento con relación al tiempo de entrega de la documentación.</t>
  </si>
  <si>
    <t>CUMPLIDO</t>
  </si>
  <si>
    <t>YUC/20-SEPT-24/CESO-005</t>
  </si>
  <si>
    <t>Se enviará recomendación a los PIA´s a fin de que cumplen con los tiempos de entrega de información-documentación  señalados en el procedimiento.</t>
  </si>
  <si>
    <t>YUC/20-SEPT-24/CESO-006</t>
  </si>
  <si>
    <t>Se gestionará reunión extraordinaria con las autoridades entrantes del Gobierno del Estado para dar a conocer el estatus que guardan los asuntos relacionados con este Consejo con énfasis en los asuntos críticos.</t>
  </si>
  <si>
    <t>Presidencia - Secretario</t>
  </si>
  <si>
    <t>Fecha por definir.</t>
  </si>
  <si>
    <t>YUC/18-ENE-25/CESO-002</t>
  </si>
  <si>
    <t>En la laminilla de PSG´s presentada por la ventanilla oriente y ventanilla centro se agregará el histórico</t>
  </si>
  <si>
    <t>YUC/18-ENE-25/CESO-004</t>
  </si>
  <si>
    <t>La información correspondiente a la relación de TIA, se dividirá la tabla para mejor apreciación de los datos.</t>
  </si>
  <si>
    <t>YUC/18-ENE-25/CESO-005</t>
  </si>
  <si>
    <t>Agregar laminilla  “INVENTARIO ESTATAL DE SERVICIOS PGN SINIIGA de la UGROY por distribución de por función zootecnica  en similitud a la presentada por la ventanilla centro.</t>
  </si>
  <si>
    <t>YUC/18-ENE-25/CESO-006</t>
  </si>
  <si>
    <t xml:space="preserve">En la presentación de la ventanilla centro, en la laminilla de solicitudes de identificadores agregar una comuna con aretes devueltos </t>
  </si>
  <si>
    <t>YUC/18-ENE-25/CESO-008</t>
  </si>
  <si>
    <t>Agregar histórico en la laminilla “reporte de la Situación del PGN SINIIGA (ventanilla centro)</t>
  </si>
  <si>
    <t>YUC/18-ENE-25/CESO-009</t>
  </si>
  <si>
    <t>Aplicar procedimiento SINIIGA en aquellos TIA´s que han sobrepasado el tiempo estipulado para la devolución de documentación y/o aretes no aplicados. (YUC/20-SEPT-24/CESO-004)</t>
  </si>
  <si>
    <t xml:space="preserve">Uniones </t>
  </si>
  <si>
    <t>YUC/18-ENE-25/CESO-010</t>
  </si>
  <si>
    <t>Se realizarán tres sesiones ordinarias en el 2025, llevándose a cabo el último viernes del mes de abril, julio y noviembre.</t>
  </si>
  <si>
    <t>20va Ordinaria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</si>
</sst>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1.0"/>
      <color rgb="FF000000"/>
      <name val="Calibri"/>
    </font>
    <font>
      <color theme="1"/>
      <name val="Calibri"/>
      <scheme val="minor"/>
    </font>
    <font>
      <b/>
      <sz val="10.0"/>
      <color rgb="FF000000"/>
      <name val="Montserrat"/>
    </font>
    <font>
      <sz val="10.0"/>
      <color rgb="FF000000"/>
      <name val="Montserrat"/>
    </font>
    <font>
      <sz val="10.0"/>
      <color rgb="FFFF0000"/>
      <name val="Montserrat"/>
    </font>
    <font>
      <sz val="8.0"/>
      <color rgb="FF000000"/>
      <name val="Montserrat"/>
    </font>
  </fonts>
  <fills count="3">
    <fill>
      <patternFill patternType="none"/>
    </fill>
    <fill>
      <patternFill patternType="lightGray"/>
    </fill>
    <fill>
      <patternFill patternType="solid">
        <fgColor rgb="FFDAEDF3"/>
        <bgColor rgb="FFDAEDF3"/>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medium">
        <color rgb="FF999999"/>
      </right>
    </border>
    <border>
      <left style="medium">
        <color rgb="FF999999"/>
      </left>
      <right style="medium">
        <color rgb="FF999999"/>
      </right>
    </border>
    <border>
      <left style="medium">
        <color rgb="FF999999"/>
      </left>
    </border>
    <border>
      <left style="thin">
        <color rgb="FF000000"/>
      </lef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shrinkToFit="0" vertical="center" wrapText="1"/>
    </xf>
    <xf borderId="0" fillId="0" fontId="1" numFmtId="14" xfId="0" applyAlignment="1" applyFont="1" applyNumberFormat="1">
      <alignment horizontal="center" shrinkToFit="0" vertical="center" wrapText="1"/>
    </xf>
    <xf borderId="0" fillId="0" fontId="1" numFmtId="0" xfId="0" applyAlignment="1" applyFont="1">
      <alignment horizontal="center" vertical="center"/>
    </xf>
    <xf borderId="0" fillId="0" fontId="1" numFmtId="0" xfId="0" applyFont="1"/>
    <xf borderId="0" fillId="0" fontId="2" numFmtId="0" xfId="0" applyFont="1"/>
    <xf borderId="0" fillId="0" fontId="1" numFmtId="0" xfId="0" applyAlignment="1" applyFont="1">
      <alignment horizontal="left"/>
    </xf>
    <xf borderId="0" fillId="0" fontId="1" numFmtId="0" xfId="0" applyAlignment="1" applyFont="1">
      <alignment horizontal="center"/>
    </xf>
    <xf borderId="1" fillId="2" fontId="3" numFmtId="0" xfId="0" applyAlignment="1" applyBorder="1" applyFill="1" applyFont="1">
      <alignment horizontal="left" shrinkToFit="0" vertical="center" wrapText="1"/>
    </xf>
    <xf borderId="1" fillId="2" fontId="3" numFmtId="0" xfId="0" applyAlignment="1" applyBorder="1" applyFont="1">
      <alignment horizontal="left" vertical="center"/>
    </xf>
    <xf borderId="2" fillId="2" fontId="3" numFmtId="0" xfId="0" applyAlignment="1" applyBorder="1" applyFont="1">
      <alignment horizontal="left" shrinkToFit="0" vertical="center" wrapText="1"/>
    </xf>
    <xf borderId="0" fillId="0" fontId="4" numFmtId="0" xfId="0" applyAlignment="1" applyFont="1">
      <alignment vertical="center"/>
    </xf>
    <xf borderId="1" fillId="0" fontId="4"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2" fontId="4" numFmtId="0" xfId="0" applyAlignment="1" applyBorder="1" applyFont="1">
      <alignment horizontal="left" vertical="center"/>
    </xf>
    <xf borderId="1" fillId="0" fontId="4" numFmtId="0" xfId="0" applyAlignment="1" applyBorder="1" applyFont="1">
      <alignment horizontal="left" vertical="center"/>
    </xf>
    <xf borderId="0" fillId="0" fontId="5" numFmtId="0" xfId="0" applyAlignment="1" applyFont="1">
      <alignment vertical="center"/>
    </xf>
    <xf borderId="3" fillId="2" fontId="4" numFmtId="0" xfId="0" applyAlignment="1" applyBorder="1" applyFont="1">
      <alignment horizontal="left" vertical="center"/>
    </xf>
    <xf borderId="4" fillId="0" fontId="4" numFmtId="0" xfId="0" applyAlignment="1" applyBorder="1" applyFont="1">
      <alignment horizontal="left" vertical="center"/>
    </xf>
    <xf borderId="4" fillId="0" fontId="4" numFmtId="0" xfId="0" applyAlignment="1" applyBorder="1" applyFont="1">
      <alignment horizontal="left" shrinkToFit="0" vertical="center" wrapText="1"/>
    </xf>
    <xf borderId="5" fillId="0" fontId="4" numFmtId="14" xfId="0" applyAlignment="1" applyBorder="1" applyFont="1" applyNumberFormat="1">
      <alignment horizontal="left" shrinkToFit="0" vertical="center" wrapText="1"/>
    </xf>
    <xf borderId="0" fillId="0" fontId="4" numFmtId="0" xfId="0" applyAlignment="1" applyFont="1">
      <alignment horizontal="center" vertical="center"/>
    </xf>
    <xf borderId="0" fillId="0" fontId="4" numFmtId="49" xfId="0" applyAlignment="1" applyFont="1" applyNumberFormat="1">
      <alignment vertical="center"/>
    </xf>
    <xf borderId="6" fillId="0" fontId="4" numFmtId="0" xfId="0" applyAlignment="1" applyBorder="1" applyFont="1">
      <alignment horizontal="left" shrinkToFit="0" vertical="center" wrapText="1"/>
    </xf>
    <xf borderId="7" fillId="0" fontId="4" numFmtId="0" xfId="0" applyAlignment="1" applyBorder="1" applyFont="1">
      <alignment horizontal="left" shrinkToFit="0" vertical="center" wrapText="1"/>
    </xf>
    <xf borderId="8" fillId="0" fontId="4" numFmtId="14" xfId="0" applyAlignment="1" applyBorder="1" applyFont="1" applyNumberFormat="1">
      <alignment horizontal="left" shrinkToFit="0" vertical="center" wrapText="1"/>
    </xf>
    <xf borderId="6" fillId="0" fontId="4" numFmtId="0" xfId="0" applyAlignment="1" applyBorder="1" applyFont="1">
      <alignment horizontal="left" vertical="center"/>
    </xf>
    <xf borderId="0" fillId="0" fontId="4" numFmtId="0" xfId="0" applyAlignment="1" applyFont="1">
      <alignment horizontal="left" shrinkToFit="0" vertical="center" wrapText="1"/>
    </xf>
    <xf borderId="0" fillId="0" fontId="4" numFmtId="14" xfId="0" applyAlignment="1" applyFont="1" applyNumberFormat="1">
      <alignment horizontal="left" shrinkToFit="0" vertical="center" wrapText="1"/>
    </xf>
    <xf borderId="1" fillId="0" fontId="4" numFmtId="0" xfId="0" applyAlignment="1" applyBorder="1" applyFont="1">
      <alignment shrinkToFit="0" vertical="center" wrapText="1"/>
    </xf>
    <xf borderId="1" fillId="0" fontId="6" numFmtId="14" xfId="0" applyAlignment="1" applyBorder="1" applyFont="1" applyNumberFormat="1">
      <alignment vertical="center"/>
    </xf>
    <xf borderId="1" fillId="0" fontId="4" numFmtId="0" xfId="0" applyAlignment="1" applyBorder="1" applyFont="1">
      <alignment horizontal="center" shrinkToFit="0" vertical="center" wrapText="1"/>
    </xf>
    <xf borderId="1" fillId="0" fontId="4" numFmtId="0" xfId="0" applyAlignment="1" applyBorder="1" applyFont="1">
      <alignment horizontal="center" vertical="center"/>
    </xf>
    <xf borderId="1" fillId="0" fontId="6" numFmtId="0" xfId="0" applyAlignment="1" applyBorder="1" applyFont="1">
      <alignment shrinkToFit="0" vertical="center" wrapText="1"/>
    </xf>
    <xf borderId="9" fillId="0" fontId="4"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0" fontId="4" numFmtId="0" xfId="0" applyAlignment="1" applyBorder="1" applyFont="1">
      <alignment horizontal="center" shrinkToFit="0" vertical="center" wrapText="1"/>
    </xf>
    <xf borderId="6" fillId="0" fontId="4" numFmtId="0" xfId="0" applyAlignment="1" applyBorder="1" applyFont="1">
      <alignment horizontal="center" vertical="center"/>
    </xf>
    <xf borderId="12" fillId="0" fontId="4" numFmtId="0" xfId="0" applyAlignment="1" applyBorder="1" applyFont="1">
      <alignment vertical="center"/>
    </xf>
    <xf borderId="7" fillId="0" fontId="4" numFmtId="0" xfId="0" applyAlignment="1" applyBorder="1" applyFont="1">
      <alignment horizontal="center" vertical="center"/>
    </xf>
    <xf borderId="4" fillId="0" fontId="4" numFmtId="0" xfId="0" applyAlignment="1" applyBorder="1" applyFont="1">
      <alignment horizontal="center" vertical="center"/>
    </xf>
    <xf borderId="5" fillId="0" fontId="4"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vertical="center"/>
    </xf>
    <xf borderId="1" fillId="0" fontId="4" numFmtId="0" xfId="0" applyAlignment="1" applyBorder="1" applyFont="1">
      <alignment vertical="center"/>
    </xf>
    <xf borderId="1" fillId="0" fontId="4" numFmtId="14" xfId="0" applyAlignment="1" applyBorder="1" applyFont="1" applyNumberFormat="1">
      <alignment horizontal="center" vertical="center"/>
    </xf>
    <xf borderId="1" fillId="0" fontId="4" numFmtId="14" xfId="0" applyAlignment="1" applyBorder="1" applyFont="1" applyNumberFormat="1">
      <alignment horizontal="center"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1">
    <tableStyle count="3" pivot="0" name="Hoja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26" sheet="page 1"/>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m/>
        <n v="86.0"/>
        <n v="87.0"/>
        <n v="88.0"/>
        <n v="89.0"/>
        <n v="90.0"/>
        <n v="91.0"/>
        <n v="92.0"/>
        <n v="93.0"/>
        <n v="94.0"/>
        <n v="95.0"/>
        <n v="96.0"/>
        <n v="97.0"/>
        <n v="98.0"/>
        <n v="99.0"/>
        <n v="100.0"/>
        <n v="101.0"/>
        <n v="102.0"/>
        <n v="103.0"/>
        <n v="104.0"/>
        <n v="105.0"/>
        <n v="106.0"/>
        <n v="107.0"/>
        <n v="108.0"/>
        <n v="109.0"/>
        <n v="110.0"/>
        <n v="111.0"/>
        <n v="112.0"/>
        <n v="113.0"/>
        <n v="114.0"/>
        <n v="115.0"/>
        <n v="116.0"/>
        <n v="117.0"/>
        <n v="118.0"/>
      </sharedItems>
    </cacheField>
    <cacheField name="ACUERDO" numFmtId="0">
      <sharedItems containsBlank="1">
        <s v="CE-YUC-281122-001"/>
        <s v="CE-YUC-281122-002"/>
        <s v="CE-YUC-281122-003"/>
        <s v="CE-YUC-281122-004"/>
        <s v="CE-YUC-051222-001"/>
        <s v="CE-YUC-051222-002"/>
        <s v="CE-YUC-051222-003"/>
        <s v="CE-YUC-051222-004"/>
        <s v="CE-YUC-100123-001"/>
        <s v="CE-YUC-100123-002"/>
        <s v="CE-YUC-100123-003"/>
        <s v="CE-YUC-100123-004"/>
        <s v="CE-YUC-100123-005"/>
        <s v="CE-YUC-100123-006"/>
        <s v="CE-YUC-240123-001"/>
        <s v="CE-YUC-240123-002"/>
        <s v="CE-YUC-020223-001"/>
        <s v="CE-YUC-020223-002"/>
        <s v="CE-YUC-020223-003"/>
        <s v="CE-YUC-020223-004"/>
        <s v="CE-YUC-020223-005"/>
        <s v="CE-YUC-020223-006"/>
        <s v="CE-YUC-020223-007"/>
        <s v="CE-YUC-020323-001"/>
        <s v="CE-YUC-020323-002"/>
        <s v="CE-YUC-020323-003"/>
        <s v="CE-YUC-020323-004"/>
        <s v="CE-YUC-020323-005"/>
        <s v="CE-YUC-020323-006"/>
        <s v="CE-YUC-020323-007"/>
        <s v="CE-YUC-020323-008"/>
        <s v="CE-YUC-040423-001"/>
        <s v="CE-YUC-040423-002"/>
        <s v="CE-YUC-040423-003"/>
        <s v="CE-YUC-040423-004"/>
        <s v="CE-YUC-040423-005"/>
        <s v="CE-YUC-040523-001"/>
        <s v="CE-YUC-040523-002"/>
        <s v="CE-YUC-040523-003"/>
        <s v="CE-YUC-040523-004"/>
        <s v="CE-YUC-040523-005"/>
        <s v="CE-YUC-060723-001"/>
        <s v="CE-YUC-060723-002"/>
        <s v="CE-YUC-060723-003"/>
        <s v="CE-YUC-060723-004"/>
        <s v="CE-YUC-030823-001"/>
        <s v="CE-YUC-030823-002"/>
        <s v="CE-YUC-030823-003"/>
        <s v="CE-YUC-110923-001"/>
        <s v="CE-YUC-110923-002"/>
        <s v="CE-YUC-110923-003"/>
        <s v="CE-YUC-110923-004"/>
        <s v="CE-YUC-051023-001"/>
        <s v="CE-YUC-051023-002"/>
        <s v="CE-YUC-061123-001"/>
        <s v="CE-YUC-061123-002"/>
        <s v="CE-YUC-061123-003"/>
        <s v="CE-YUC-061123-004"/>
        <s v="CE-YUC-071223-001"/>
        <s v="CE-YUC-071223-002"/>
        <s v="CE-YUC-071223-003"/>
        <s v="CE-YUC-071223-004"/>
        <s v="CE-YUC-181223-001"/>
        <s v="CE-YUC-181223-002"/>
        <s v="CE-YUC-180124-001"/>
        <s v="CE-YUC-180124-002"/>
        <s v="CE-YUC-180124-003"/>
        <s v="CE-YUC-180124-004"/>
        <s v="CE-YUC-180124-005"/>
        <s v="CE-YUC-180124-006"/>
        <s v="CE-YUC-180124-007"/>
        <s v="CE-YUC-180124-008"/>
        <s v="YUC/07-FEB-24/CESO-001"/>
        <s v="YUC/07-FEB-24/CESO-002"/>
        <s v="YUC/07-FEB-24/CESO-003"/>
        <s v="YUC/07-FEB-24/CESO-004"/>
        <s v="01/15-FEB-24/CESO-001"/>
        <s v="04/15-FEB-24/CESO-003"/>
        <s v="04/15-FEB-24/CESO-004"/>
        <s v="04/15-FEB-24/CESO-005"/>
        <s v="Sin Acuerdos"/>
        <s v="YUC/11-JUL-24/CESO-001"/>
        <s v="YUC/11-JUL-24/CESO-002"/>
        <s v="YUC/11-JUL-24/CESO-003"/>
        <s v="YUC/11-JUL-24/CESO-004"/>
        <m/>
        <s v="YUC/11-JUL-24/CESO-008"/>
        <s v="YUC/29-AGO-24/CESO-001"/>
        <s v="YUC/29-AGO-24/CESO-002"/>
        <s v="YUC/20-SEPT-24/CESO-001"/>
        <s v="YUC/20-SEPT-24/CESO-002"/>
        <s v="YUC/20-SEPT-24/CESO-003"/>
        <s v="YUC/20-SEPT-24/CESO-004"/>
        <s v="YUC/20-SEPT-24/CESO-005"/>
        <s v="YUC/20-SEPT-24/CESO-006"/>
        <s v="YUC/18-ENE-25/CESO-001"/>
        <s v="YUC/18-ENE-25/CESO-002"/>
        <s v="YUC/18-ENE-25/CESO-003"/>
        <s v="YUC/18-ENE-25/CESO-004"/>
        <s v="YUC/18-ENE-25/CESO-005"/>
        <s v="YUC/18-ENE-25/CESO-006"/>
        <s v="YUC/18-ENE-25/CESO-007"/>
        <s v="YUC/18-ENE-25/CESO-008"/>
        <s v="YUC/18-ENE-25/CESO-009"/>
        <s v="YUC/18-ENE-25/CESO-010"/>
        <s v="YUC/28-ABR-25/CESO-001"/>
        <s v="YUC/28-ABR-25/CESO-002"/>
        <s v="YUC/28-ABR-25/CESO-003"/>
        <s v="YUC/28-ABR-25/CESO-004"/>
        <s v="YUC/28-ABR-25/CESO-005"/>
        <s v="YUC/28-ABR-25/CESO-006"/>
        <s v="YUC/28-ABR-25/CESO-007"/>
        <s v="YUC/02-JUL-25/CESO-001"/>
        <s v="YUC/02-JUL-25/CESO-002"/>
        <s v="YUC/02-JUL-25/CESO-003"/>
        <s v="YUC/02-JUL-25/CESO-004"/>
        <s v="YUC/02-JUL -25/CESO-005"/>
        <s v="YUC/02-JUL -25/CESO-006"/>
        <s v="YUC/02-JUL -25/CESO-007"/>
      </sharedItems>
    </cacheField>
    <cacheField name="acuerdo2" numFmtId="0">
      <sharedItems>
        <s v="Instalación del CESO en Yucatán."/>
        <s v="Los integrantes del CESO se dan por enterado acerca del manual de&#10;funcionamiento del CESO."/>
        <s v="Se da a conocer el inventario de identificadores de las Ventanillas en el Estado."/>
        <s v="Siguiente reunión de trabajo"/>
        <s v="El Centro Operativo Nacional (CON) enviará la base de datos del 56% de las claves&#10;de UPP que requieren actualización para este 2023. Dicha base debe contener clave de UPP, Productor, Municipio, Localidad, Inventario y última fecha de actualización."/>
        <s v="Se convocará a reunión el 10/12/2022, con los Presidentes de las AGL correspondientes a la Unión Ganadera Regional de Yucatán (UGRY), con la finalidad de informarles acerca del CESO y las disposiciones de identificación en lo futuro."/>
        <s v="Se convocará a reunión el 11/12/2022, con los Presidentes de las AGL correspondientes a la Unión Ganadera Regional del Oriente de Yucatán (UGROY), con la finalidad de informarles acerca del CESO y las disposiciones de identificación en lo futuro."/>
        <s v="Las sesiones del 2023 se realizarán el primer jueves de cada mes."/>
        <s v="Reunión extraordinaria a las 8:00 horas. para definir estrategia de atención a&#10;claves de UPP que deben actualizar en PGN y BCI."/>
        <s v="Definir estrategia de fortalecimiento de identificación de Colmenas"/>
        <s v="Permitir la identificación del 100% de animales en las claves de UPP (por única vez) en éste 2023."/>
        <s v="Después del 100% de identificación de la UPP, la siguiente ocasión, debe solicitar únicamente  identificar incremento natural y rearetados."/>
        <s v="Reunión con la AGL de Tízimin para informar acerca del CESO y las actividades que desarrollarán en la operación del programa."/>
        <s v="Próxima reunión ordinaria"/>
        <s v="Propuesta de fotografía para validar identificación"/>
        <s v="Proponer reunión entre representantes de CESO entre Campeche, Yucatán y Quintana Roo"/>
        <s v="El representante de Gobierno del Estado se dará a la tarea de solicitar&#10;autorización para establecer subsidio del 50% en la adquisición de los identificadores de Colmenas."/>
        <s v="Se pondrá a disposición de la mesa la propuesta de lona publicitaria, donde se establezcan los servicios y costos de los mismos en cada Espacio de Atención."/>
        <s v="Proponer la lista de elementos técnicos, administrativos y operativos, con los cuales  deben  contar  los  Espacios  de  Atención  para  otorgar  los  servicios  de calidad."/>
        <s v="Se  establecerá  la  bitácora  correspondiente  de  solicitudes  de  información  que lleguen a éste consejo."/>
        <s v="La invitación del Presidente de la AGL de Súcila, la responderá el Presidente de éste Consejo. Así como la carta del productor Susano López la responderá el Secretario Técnico del mismo."/>
        <s v="Se envía a los integrantes del Consejo la propuesta de Carta compromiso del productor, para apoyar a cumplir la trazabilidad en el Estado, para recibir observaciones hasta el 6 de febrero próximo para definir formato y autorizarlo."/>
        <s v="Se presentará en la siguiente reunión programa de Cursos de capacitación de TIA&#10;y PIA."/>
        <s v="Modificación de la redacción del orden del día en el punto 10. Simplemente&#10;queda como acuerdos."/>
        <s v="Los jefes VAS de Yucatán serán invitados permanentes de éste Consejo."/>
        <s v="Los jefe VAS deberán reportar de manera mensual las actividades operativas realizadas en sus respectivos Espacios de Atención."/>
        <s v="Gobierno del Estado emitirá dictámen para registro de actividad de las PSG."/>
        <s v="Se atenderá la queja de productor Diego A. Loria Gil involucrado en abuso de confianza en el uso de su clave de UPP."/>
        <s v="Se invitará al presidente y usuario de REEMO de la AGL de Buctzotz involucrado en el caso del productor Diego A. Loria Gil."/>
        <s v="Actualización del convenio de colaboración REEMO entre las Uniones&#10;Ganaderas Regionales y el Gobierno del Estado."/>
        <s v="Propuesta de protocolo de movilización con guía REEMO."/>
        <s v="Enviar 24 horas antes de cada reunión la información correspondiente de las reuniones, para conocimiento de los integrantes."/>
        <s v="Enviar información de listas de PSG a Gobierno del Estado para validación."/>
        <s v="Presentar información de identificadores recolectados de rastros, cotejada&#10;con guías REEMO (destino rastro) y la cantidad de matanza reportado por CFPP"/>
        <s v="Definir variables para análisis de reporte de actividades de TIA"/>
        <s v="Atención de la queja presentada por Eduardo J. Ándres Gonzalez, consiste en la validación de reseña  de 48 identificadores bovinos en sistema."/>
        <s v="Reunión de trabajo para definir convenio REEMO entre gobierno del Estado y las&#10;Uniones Ganaderas Regionales. Área Jurídica SEDER."/>
        <s v="Exponer a éste Consejo la operación de los TIA, así como sus responsabilidades"/>
        <s v="Actualizar la clave de PSG de la Subasta Ganadera de Tizimín."/>
        <s v="Reportar mensualmente los registros y actualizaciones así como la asignación de identificadores por especie."/>
        <s v="Reunión de trabajo para tratar las recomendaciones de Aphis-USDA."/>
        <s v="Rutas de barrido de acuerdo a la identificación animal en las comunidades"/>
        <s v="Coordinación entre la Ventanilla Oriente de Yucatán con los enlaces de CFPP (MVZ. Oscar Correa XXX) y SEDER (MVZ. Moíses Martín Sima) para barrido en Tizimín."/>
        <s v="Estrategia de apoyo en la adquisición de identificadores para barrido"/>
        <s v="Visita a PSG de Buctzotz para depuración de inventario en BCI y validación de los requisitos de operación."/>
        <s v="Agregar concepto Autorizado por SEDER y actualizado por SINIIGA, para las&#10;claves de PSG en el Estado."/>
        <s v="Consulta a SENASICA el tema de la reasignación de identificadores del predio&#10;Cuarentenado del productor José Eduardo Andrés Gonzalez."/>
        <s v="Presentar las claves de PSG vigentes de bovinos y colmenas."/>
        <s v="Validar las actualizaciones de las claves de UPP de bovinos y colmenas"/>
        <s v="Reportar la fecha de la última actualización de las claves de PSG."/>
        <s v="Estrategia para la recolección de identificadores de rastros en Oriente"/>
        <s v="Incorporar en la firma de actas,  los anexos de cada reunión."/>
        <s v="Enviar a Gobierno del Estado las 44 claves de PSG de sacrificio vigentes en el estado."/>
        <s v="Enviar a Gobierno del Estado el reporte de identificadores ubicados en las claves de PSG P08."/>
        <s v="Modificación del orden del día, incluyendo en asuntos generales el tema de plataforma SENASICA."/>
        <s v="Presentar información de las claves de UPP, de acuerdo a las vigentes y su&#10;inventario respectivo"/>
        <s v="solicitar la actualización del reporte de claves de UPP vigentes y su&#10;inventario por especie, para realizar el comparativo con años 2021-2023."/>
        <s v="Enviar a Centro Operativo Nacional oficio de suspensión de claves de PSG, las cuales no han actualizado su expediente ante Gobierno del Estado."/>
        <s v="Modificación de orden del día, agregando en asuntos generales temas como amparo de productor Eduardo Andrés y Calendario de reuniones 2024."/>
        <s v="reunión extraordinaria a las 17:00 horas para tratar avance de barrido."/>
        <s v="Revisión de identificadores de rastro y orden de matanza"/>
        <s v="siguiente reunión para inicio de 2024."/>
        <s v="Los integrantes del CESO respetarán los 30 días hábiles para la reestructura del CESO, y con ello, acatar la instrucción total de la Dirección General de Salud Animal."/>
        <s v="Se realizará consulta para definir el tema de los integrantes del CESO, ya que en&#10;los lineamientos para el funcionamiento del CESO del oficio de la DGSA, menciona como integrantes a la OREF de SADER Yucatán o Coordinación General de Ganadería."/>
        <s v="Agregar al reporte mensual el inventario de las claves de UPP actualizadas."/>
        <s v="Enviar lista de UPP con asignación de identificadores a TIA, agregando si son altas o actualizaciones en el PGN."/>
        <s v="Proponer la modificación de formatos para reporte mensual de Ventanillas"/>
        <s v="Presentar reporte de REEMO con destino a rastros en el 2023."/>
        <s v="Presentar calendario para reuniones de 2024."/>
        <s v="Para los productores que quieran regularizar su situación ante el PGN (alta o actualización) y SINIIGA (identificación al 100% del hato), debe solicitar visita de campo a la Ventanilla y está se coordinará con SEDER."/>
        <s v="Enviar el Directorio de Ventanillas SINIIGA y de Centros Expeditores de REEMO"/>
        <s v="Presentar propuesta de plan de trabajo para 2024."/>
        <s v="Los integrantes del Consejo se dan por enterados de la  Circular N°B00.02.-005-2024 emitida por la Dirección General de Salud Animal, así como, de los Lineamientos firmados el 19 de enero de 2024 y publicados en las páginas electrónicas de AGRICULTURA y S"/>
        <s v="Se realiza la interpretación del punto D. SESIONES DEL CONSEJO ESTATAL DE SEGUIMIENTO OPERATIVO, inciso d, para precisar que se refiere  al 50% (por ciento) más uno de los integrantes del Consejo."/>
        <s v="El CESO fue reestructurado de acuerdo a los Lineamientos referidos."/>
        <s v="Los integrantes del CESO designaron a sus suplentes como se establece en el punto 5 de la presente acta, quienes enviaron a través de oficio dirigido al presidente del CESO dicha designación para su formalización. "/>
        <s v="Se convocará a la 4ta sesión extraordinaria a celebrarse el 11 de abril de 22 a las 16:00 hrs. para dar seguimiento a los 14 acuerdos pendientes.  "/>
        <s v="Incluir en las tablas de “ALTAS DE UPP y ALTAS DE PSG” el número de animales con los que se dieron de alta."/>
        <s v="En la tabla “Atención Upp´s Por Especie” en la columna “Upp's Histórico” el deglose por “vigentes”, “suspendidas” y “dadas de baja”"/>
        <s v="Se proporcionará el listado de variables para solicitar informes."/>
        <s v="Dar a conocer el estatus de los acuerdos posterior a la reestructura"/>
        <s v="Adecuar la tabla de identificadores entregados, devueltos (Atención de solicitudes de identificadores) VAS Centro"/>
        <s v="Presentar informes por especie (bovinos, colmenas, ovinos, caprinos)"/>
        <s v="Informe individual de TÍA, presentar en orden de mayor a menor según identificadores aplicados."/>
        <s v="Se propone suspender de manera “escalonada” según se indica a continuación:"/>
        <s v="• Suspender las PSG que no se han actualizado a partir del año 2010. Aviso a productores por a través de las Uniones "/>
        <s v="• Suspender de forma escalonada de acuerdo a la tabla y los rangos. Aviso a productores por a través de las Uniones"/>
        <s v="• Activar las PSG suspendidas, previa solicitud del productor y opinión técnica del Gobierno del Estado, de acuerdo a los procedimientos SINIIGA. Aviso a productores por a través de las Uniones"/>
        <s v="• Del año 2022 al actual, aplicar el procedimiento del SINIIGA, para mantener actualizada la base de datos de PSG, de acuerdo a las movilizaciones. Aviso a productores por a través de las Uniones"/>
        <s v="Análisis de aretes vigentes de la PSG de Humberto Bermejo"/>
        <s v="El Gobierno del Estado, emitirá oficio dirigido al Centro Operativo Nacional con copia a las ventanillas autorizadas en Yucatán solicitando la suspensión de las 333 PSG´s incluidas en el periodo de 2010 a 2020 del cuadro presentado por la MVZ. María del R"/>
        <s v="Se dará de plazo hasta el 31 de diciembre de 2024, para que las 169 PSG´s del año 2021  se actualicen, en caso contrario, se suspenderán del Padrón Ganadero nacional (PGN)."/>
        <s v="Previo a lo anterior, se pondrán avisos en las ventanillas de atención para conocimiento del público en general."/>
        <s v="Se reitera que a partir del 01 de enero del 2025, con base en la declaración de decir verdad que firma el productor, que a la letra dice: “Declaro  bajo protesta de decir verdad, que los datos contenidos en este formato son ciertos, así mismo, me comprome"/>
        <s v="SINIIGA proporcionará la base de datos a Gobierno del Estado de PSG´s que cumplieron con el trámite de autorización para integrarlas al programa de supervisión que realiza SEDER a través de la Dirección de Sanidad Agropecuaria."/>
        <s v="Se agregará en la dispositiva “Reportes Enero - Agosto de los Servicios del PGN – SINIIGA.”, el reporte de bovinos por etapa productiva:"/>
        <s v="Se consultará al administrador del Sistema REEMO estatal la factibilidad de generar un reporte detallado "/>
        <s v="Se agregará en la dispositiva “Reportes Mensuales de los Servicios del PGN – SINIIGA Atención Upp´s Por Especie.”, la columna de inventario:"/>
        <s v="Con base en el reporte de informe individual de TIA se aplicará lo referido en el procedimiento con relación al tiempo de entrega de la documentación."/>
        <s v="Se enviará recomendación a los PIA´s a fin de que cumplen con los tiempos de entrega de información-documentación  señalados en el procedimiento."/>
        <s v="Se gestionará reunión extraordinaria con las autoridades entrantes del Gobierno del Estado para dar a conocer el estatus que guardan los asuntos relacionados con este Consejo con énfasis en los asuntos críticos."/>
        <s v="Se dará seguimiento a la validación por parte del Gobierno del Estado a las organizaciones ganaderas (retomar tabla de la 5ta sesión extraordinaria )"/>
        <s v="En la laminilla de PSG´s presentada por la ventanilla oriente y ventanilla centro se agregará el histórico"/>
        <s v="Se retomará el seguimiento del Acuerdo relacionado con la suspensión de PSG´s que no han actualizado o terminado su trámite en las ventanillas (oficio 447/24 de SESER) Acuerdo YUC/29-AGO-24/CESO-001"/>
        <s v="La información correspondiente a la relación de TIA, se dividirá la tabla para mejor apreciación de los datos."/>
        <s v="Agregar laminilla  “INVENTARIO ESTATAL DE SERVICIOS PGN SINIIGA de la UGROY por distribución de por función zootecnica  en similitud a la presentada por la ventanilla centro."/>
        <s v="En la presentación de la ventanilla centro, en la laminilla de solicitudes de identificadores agregar una comuna con aretes devueltos "/>
        <s v="Homologar formato de presentación (ventanilla oriente)"/>
        <s v="Agregar histórico en la laminilla “reporte de la Situación del PGN SINIIGA (ventanilla centro)"/>
        <s v="Aplicar procedimiento SINIIGA en aquellos TIA´s que han sobrepasado el tiempo estipulado para la devolución de documentación y/o aretes no aplicados. (YUC/20-SEPT-24/CESO-004)"/>
        <s v="Se realizarán tres sesiones ordinarias en el 2025, llevándose a cabo el último viernes del mes de abril, julio y noviembre."/>
        <s v="En caso de que un TIA no regrese los aretes o la documentación dentro del plazo de 15 días naturales autorizados, se le suspenderá en caso de reincidir por 3 (tres) ocasiones, previa revisión y análisis de cada caso (seguimiento YUC/20-SEPT-24/CESO-004)"/>
        <s v="Enviar presentaciones elaboradas por la VAS Centro de Yucatán y Vas Oriente de Yucatán por lo menos 3 días antes de la Sesión para su revisión y análisis por los integrantes del CESO."/>
        <s v="Presentar por separado las situación de las PSG´s, agregando una columna para diferenciar las ya existentes y las de nuevo reconocimiento."/>
        <s v="Envío de base de datos de PSG´s para programar reunión extraordinaria para depuración de la misma, previa revisión y análisis."/>
        <s v="Revisar información con el Comité Estatal de Fomento y Protección Pecuaria de Yucatán, S.C.P. para solicitar al SINIIGA el cierre de municipios por motivo de barrido."/>
        <s v="Presentar el estatus de los acuerdos alcanzados en las sesiones del CESO mediante la elaboración de un presentación."/>
        <s v="Una vez enviada la propuesta de Acta de cada sesión se contará con 3 días hábiles para la emisión de comentarios u observaciones, en caso no recibirse respuesta, se considerará validada."/>
        <s v="En municipios que ya se encuentren cerrados por concepto de constatación progresiva de hatos (barrido) de tuberculosis bovina, no se dará de alta ni se actualizará ninguna unidad de producción pecuaria que no demuestre fehacientemente que los animales ya "/>
        <s v="La unidad de producción pecuaria que no participó en el proceso de constatación progresiva de hatos (barrido) de tuberculosis bovina, serán suspendidas y para su reactivación se deberá cumplir con el protocolo establecido para tal fin. "/>
        <s v="Se realizará una reunión entre SINIIGA y SEDER para revisión, análisis y depuración de prestadores de servicios ganaderos."/>
        <s v="La Dirección de Sanidad Agropecuaria solicitará al SINIIGA la baja de los centros de acopio para exportación."/>
        <s v="Incluir en las presentaciones un mapa en el que se aprecien los municipios en los que se está llevando a cabo la constatación progresiva de hatos (barrido) de tuberculosis bovina."/>
        <s v="La VAS Centro, revisará la información presentada con relación a los identificadores entregados solicitados – capturados contra los aplicados por TIA´s y PIA´s  por la diferencia entre estos reportes."/>
        <s v="Se enviará al Coordinador Peninsular del SINIIGA el Acta USDA – APHIS para sustento de suspensión de unidad de producción pecuaria por no haber participado en la constatación progresiva de hatos (barrido) de tuberculosis bovina."/>
      </sharedItems>
    </cacheField>
    <cacheField name="RESPONSABLE" numFmtId="0">
      <sharedItems containsBlank="1">
        <s v="MVZ. María del Refugio Medina Juárez"/>
        <s v="MVZ. Francis A. Genovez Chanona"/>
        <s v="M.V.Z. Francis A. Genovez Chanona"/>
        <s v="Todos los integrantes"/>
        <s v="Ing. Gerardo Solis Pasos"/>
        <s v="Dr. Roger Díaz"/>
        <s v="Jefes de Ventanilla"/>
        <s v="MVZ. Ángel M. Castillo Camal"/>
        <s v="Lic. Leticia Loria Medrano"/>
        <s v="MVZ. Victor Calderón Jiménez"/>
        <s v="MVZ. Alejandra Reyes Saucedo"/>
        <s v="MVZ. Jose Joaquin Peral Rodríguez"/>
        <s v="Mtro. Orlando Arellano Muraoka"/>
        <s v="Presidencia – Secretario Técnico"/>
        <s v="Jefa y Jefe de Ventanilla"/>
        <s v="MVZ. Francis Genovez Chanona"/>
        <s v="Consulta para su procedencia por parte de la MVZ. Alejandra Reyes Saucedo."/>
        <m/>
        <s v="M.Sc. Gerardo Solís Pasos"/>
        <s v="Presidencia - Secretario"/>
        <s v="Gobierno del Estado "/>
        <s v="MVZ. Francis A. Genovez "/>
        <s v="Uniones "/>
        <s v="Ing. Juan Carlos Rodríguez Andrade"/>
        <s v="Ing. Abigail Estrada Estrada"/>
        <s v="Ing. Juan Carlos Rodríguez Andrade &#10;MVZ. Francis A. Genovez Chanona"/>
      </sharedItems>
    </cacheField>
    <cacheField name="FECHA DE CUMPLIMIENTO">
      <sharedItems containsDate="1" containsBlank="1" containsMixedTypes="1">
        <s v="28/11/2022"/>
        <s v="05/12/2022"/>
        <s v="08/12/2022"/>
        <s v="10/12/2022"/>
        <s v="11/12/2022"/>
        <s v="todo el 2023"/>
        <s v="24/01/2023"/>
        <s v="02/02/2023"/>
        <s v="todo 2023"/>
        <s v="25/01/2023"/>
        <s v="próxima reunión"/>
        <s v="02/03/2023"/>
        <s v="06/02/2023"/>
        <s v="permanente"/>
        <s v="04/04/2023"/>
        <s v="11/04/2023"/>
        <s v="04/05/2023"/>
        <s v="12/05/2023"/>
        <s v="a la brevedad"/>
        <s v="03/08/2023"/>
        <s v="pendiente fecha"/>
        <s v="11/09/2023"/>
        <s v="05/10/2023"/>
        <s v="09/10/2023"/>
        <s v="06/11/2023"/>
        <s v="proxima reunión"/>
        <s v="13/12/2023"/>
        <s v="05/01/2024"/>
        <s v="18/12/2023"/>
        <s v="18/01/2024"/>
        <s v="19/01/2024"/>
        <d v="2024-02-07T00:00:00Z"/>
        <s v="04 de abril 2024"/>
        <m/>
        <d v="2024-09-20T00:00:00Z"/>
        <s v="Se realizó reunión extraordinaria el&#10;  29/08/2024, generándose Acta correspondiente.&#10;"/>
        <s v="Se recibió información mediante correo electrónico y se presentó el análisis durante la sesión."/>
        <s v="Semana del 2 al 6 de septiembre&#10;Se envió oficio DSA 447/2024 del 28 de agosto de 2024, solicitando actualización del padrón de PSG´s&#10;"/>
        <s v="Semana del 2 al 6 de septiembre&#10;Se recibió la inforaicón mediante correo electrónico el 20/09/2024."/>
        <s v="Fecha por definir."/>
        <d v="2025-04-28T00:00:00Z"/>
        <d v="2025-05-06T00:00:00Z"/>
        <s v="Semana del 7 al 12 de julio de 2025."/>
        <s v="Próxima sesión"/>
      </sharedItems>
    </cacheField>
    <cacheField name="ESTATUS" numFmtId="0">
      <sharedItems containsBlank="1">
        <s v="Cumplido"/>
        <s v="Permanente"/>
        <m/>
        <s v="18° Sesión ordinaria CONCLUIDO (se presentó un informe general por parte de la Ventanilla centro)"/>
        <s v="18° Sesión ordinaria Parcialmente Concluido Se aclaró que la información que se requiere es el estado de destino, motivo y número de cabezas.&#10;Se presentó oficio OFP037/2025"/>
        <s v="18° Sesión ordinaria CONCLUIDO"/>
        <s v="Pendiente"/>
      </sharedItems>
    </cacheField>
    <cacheField name="Días">
      <sharedItems containsMixedTypes="1" containsNumber="1" containsInteger="1">
        <s v="28"/>
        <s v="05"/>
        <s v="10"/>
        <s v="24"/>
        <s v="02"/>
        <s v="04"/>
        <s v="06"/>
        <s v="03"/>
        <s v="11"/>
        <s v="07"/>
        <s v="18"/>
        <n v="1.0"/>
        <n v="2.0"/>
        <n v="3.0"/>
        <n v="4.0"/>
        <n v="15.0"/>
        <n v="18.0"/>
        <n v="11.0"/>
        <n v="29.0"/>
        <n v="20.0"/>
        <n v="28.0"/>
      </sharedItems>
    </cacheField>
    <cacheField name="Mes ">
      <sharedItems containsMixedTypes="1" containsNumber="1" containsInteger="1">
        <s v="11"/>
        <s v="12"/>
        <s v="01"/>
        <s v="02"/>
        <s v="03"/>
        <s v="04"/>
        <s v="05"/>
        <s v="07"/>
        <s v="08"/>
        <s v="09"/>
        <s v="10"/>
        <n v="9.0"/>
        <n v="1.0"/>
        <n v="4.0"/>
        <n v="7.0"/>
      </sharedItems>
    </cacheField>
    <cacheField name="Año">
      <sharedItems containsMixedTypes="1" containsNumber="1" containsInteger="1">
        <s v="22"/>
        <s v="23"/>
        <s v="24"/>
        <n v="24.0"/>
        <n v="25.0"/>
        <n v="2025.0"/>
      </sharedItems>
    </cacheField>
    <cacheField name="Tipo de Sesión" numFmtId="0">
      <sharedItems>
        <s v="Instalación"/>
        <s v="1ra Ordinaria"/>
        <s v="2da Ordinaria"/>
        <s v="1ra Extraordinaria"/>
        <s v="3ra Ordinaria "/>
        <s v="4ta Ordinaria"/>
        <s v="5ta Ordinaria"/>
        <s v="6ta Ordinaria"/>
        <s v="8va Ordinaria"/>
        <s v="9na Ordinaria"/>
        <s v="10ma Ordinaria"/>
        <s v="11va Ordinaria"/>
        <s v="12va Ordinaria"/>
        <s v="13va Ordinara"/>
        <s v="2da Extraordinaria"/>
        <s v="14va Ordinaria"/>
        <s v="3ra Extraordinaria"/>
        <s v="15va Ordinaria"/>
        <s v="4ta Extraordinaria"/>
        <s v="16va Ordinaria"/>
        <s v="5ta Extraordinaria"/>
        <s v="17va Ordinaria"/>
        <s v="18va Ordinaria"/>
        <s v="19va Ordinaria"/>
        <s v="20va Ordinari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oja1" cacheId="0" dataCaption="" compact="0" compactData="0">
  <location ref="A3:B11"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ACUER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acuerd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RESPONSAB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ECHA DE CUMPL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STATUS" axis="axisRow" compact="0" outline="0" multipleItemSelectionAllowed="1" showAll="0" sortType="ascending">
      <items>
        <item x="2"/>
        <item x="5"/>
        <item x="3"/>
        <item x="4"/>
        <item x="0"/>
        <item x="6"/>
        <item x="1"/>
        <item t="default"/>
      </items>
    </pivotField>
    <pivotField name="Día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Mes " compact="0" outline="0" multipleItemSelectionAllowed="1" showAll="0">
      <items>
        <item x="0"/>
        <item x="1"/>
        <item x="2"/>
        <item x="3"/>
        <item x="4"/>
        <item x="5"/>
        <item x="6"/>
        <item x="7"/>
        <item x="8"/>
        <item x="9"/>
        <item x="10"/>
        <item x="11"/>
        <item x="12"/>
        <item x="13"/>
        <item x="14"/>
        <item t="default"/>
      </items>
    </pivotField>
    <pivotField name="Año" compact="0" outline="0" multipleItemSelectionAllowed="1" showAll="0">
      <items>
        <item x="0"/>
        <item x="1"/>
        <item x="2"/>
        <item x="3"/>
        <item x="4"/>
        <item x="5"/>
        <item t="default"/>
      </items>
    </pivotField>
    <pivotField name="Tipo de Se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5"/>
  </rowFields>
  <dataFields>
    <dataField name="Cuenta de RESPONSABLE" fld="3" subtotal="count" baseField="0"/>
  </dataFields>
</pivotTableDefinition>
</file>

<file path=xl/tables/table1.xml><?xml version="1.0" encoding="utf-8"?>
<table xmlns="http://schemas.openxmlformats.org/spreadsheetml/2006/main" ref="A1:J18" displayName="Table_1" name="Table_1" id="1">
  <tableColumns count="10">
    <tableColumn name="No." id="1"/>
    <tableColumn name="ACUERDO" id="2"/>
    <tableColumn name="ACUERDO2" id="3"/>
    <tableColumn name="RESPONSABLE" id="4"/>
    <tableColumn name="FECHA DE CUMPLIMIENTO" id="5"/>
    <tableColumn name="ESTATUS" id="6"/>
    <tableColumn name="Días" id="7"/>
    <tableColumn name="Mes " id="8"/>
    <tableColumn name="Año" id="9"/>
    <tableColumn name="Tipo de Sesión" id="10"/>
  </tableColumns>
  <tableStyleInfo name="Hoj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2.0"/>
    <col customWidth="1" min="3" max="3" width="35.86"/>
    <col customWidth="1" min="4" max="4" width="15.71"/>
    <col customWidth="1" min="5" max="5" width="26.71"/>
    <col customWidth="1" min="6" max="6" width="11.0"/>
    <col customWidth="1" min="7" max="7" width="7.0"/>
    <col customWidth="1" min="8" max="8" width="7.14"/>
    <col customWidth="1" min="9" max="9" width="6.86"/>
    <col customWidth="1" min="10" max="10" width="16.14"/>
    <col customWidth="1" min="11" max="26" width="10.71"/>
  </cols>
  <sheetData>
    <row r="1">
      <c r="A1" s="1" t="s">
        <v>0</v>
      </c>
      <c r="B1" s="2" t="s">
        <v>1</v>
      </c>
      <c r="C1" s="2" t="s">
        <v>2</v>
      </c>
      <c r="D1" s="1" t="s">
        <v>3</v>
      </c>
      <c r="E1" s="2" t="s">
        <v>4</v>
      </c>
      <c r="F1" s="2" t="s">
        <v>5</v>
      </c>
      <c r="G1" s="2" t="s">
        <v>6</v>
      </c>
      <c r="H1" s="2" t="s">
        <v>7</v>
      </c>
      <c r="I1" s="2" t="s">
        <v>8</v>
      </c>
      <c r="J1" s="2" t="s">
        <v>9</v>
      </c>
    </row>
    <row r="2">
      <c r="A2" s="1">
        <v>95.0</v>
      </c>
      <c r="B2" s="3" t="s">
        <v>10</v>
      </c>
      <c r="C2" s="2" t="s">
        <v>11</v>
      </c>
      <c r="D2" s="1" t="s">
        <v>12</v>
      </c>
      <c r="E2" s="1"/>
      <c r="F2" s="1" t="s">
        <v>13</v>
      </c>
      <c r="G2" s="1">
        <v>18.0</v>
      </c>
      <c r="H2" s="1">
        <v>1.0</v>
      </c>
      <c r="I2" s="1">
        <v>25.0</v>
      </c>
      <c r="J2" s="1" t="s">
        <v>14</v>
      </c>
    </row>
    <row r="3">
      <c r="A3" s="1">
        <v>97.0</v>
      </c>
      <c r="B3" s="3" t="s">
        <v>15</v>
      </c>
      <c r="C3" s="2" t="s">
        <v>16</v>
      </c>
      <c r="D3" s="1" t="s">
        <v>17</v>
      </c>
      <c r="E3" s="1"/>
      <c r="F3" s="1" t="s">
        <v>13</v>
      </c>
      <c r="G3" s="1">
        <v>18.0</v>
      </c>
      <c r="H3" s="1">
        <v>1.0</v>
      </c>
      <c r="I3" s="1">
        <v>25.0</v>
      </c>
      <c r="J3" s="1" t="s">
        <v>14</v>
      </c>
    </row>
    <row r="4">
      <c r="A4" s="1">
        <v>101.0</v>
      </c>
      <c r="B4" s="3" t="s">
        <v>18</v>
      </c>
      <c r="C4" s="2" t="s">
        <v>19</v>
      </c>
      <c r="D4" s="1" t="s">
        <v>20</v>
      </c>
      <c r="E4" s="1"/>
      <c r="F4" s="1" t="s">
        <v>13</v>
      </c>
      <c r="G4" s="1">
        <v>18.0</v>
      </c>
      <c r="H4" s="1">
        <v>1.0</v>
      </c>
      <c r="I4" s="1">
        <v>25.0</v>
      </c>
      <c r="J4" s="1" t="s">
        <v>14</v>
      </c>
    </row>
    <row r="5">
      <c r="A5" s="1">
        <v>105.0</v>
      </c>
      <c r="B5" s="3" t="s">
        <v>21</v>
      </c>
      <c r="C5" s="2" t="s">
        <v>22</v>
      </c>
      <c r="D5" s="1" t="s">
        <v>17</v>
      </c>
      <c r="E5" s="1" t="s">
        <v>23</v>
      </c>
      <c r="F5" s="1" t="s">
        <v>13</v>
      </c>
      <c r="G5" s="1">
        <v>28.0</v>
      </c>
      <c r="H5" s="1">
        <v>4.0</v>
      </c>
      <c r="I5" s="1">
        <v>2025.0</v>
      </c>
      <c r="J5" s="1" t="s">
        <v>24</v>
      </c>
    </row>
    <row r="6">
      <c r="A6" s="1">
        <v>106.0</v>
      </c>
      <c r="B6" s="3" t="s">
        <v>25</v>
      </c>
      <c r="C6" s="2" t="s">
        <v>26</v>
      </c>
      <c r="D6" s="1" t="s">
        <v>17</v>
      </c>
      <c r="E6" s="1" t="s">
        <v>23</v>
      </c>
      <c r="F6" s="1" t="s">
        <v>13</v>
      </c>
      <c r="G6" s="1">
        <v>28.0</v>
      </c>
      <c r="H6" s="1">
        <v>4.0</v>
      </c>
      <c r="I6" s="1">
        <v>2025.0</v>
      </c>
      <c r="J6" s="1" t="s">
        <v>24</v>
      </c>
    </row>
    <row r="7">
      <c r="A7" s="1">
        <v>107.0</v>
      </c>
      <c r="B7" s="3" t="s">
        <v>27</v>
      </c>
      <c r="C7" s="2" t="s">
        <v>28</v>
      </c>
      <c r="D7" s="1" t="s">
        <v>17</v>
      </c>
      <c r="E7" s="1" t="s">
        <v>29</v>
      </c>
      <c r="F7" s="1" t="s">
        <v>13</v>
      </c>
      <c r="G7" s="1">
        <v>28.0</v>
      </c>
      <c r="H7" s="1">
        <v>4.0</v>
      </c>
      <c r="I7" s="1">
        <v>2025.0</v>
      </c>
      <c r="J7" s="1" t="s">
        <v>24</v>
      </c>
    </row>
    <row r="8">
      <c r="A8" s="1">
        <v>108.0</v>
      </c>
      <c r="B8" s="3" t="s">
        <v>30</v>
      </c>
      <c r="C8" s="2" t="s">
        <v>31</v>
      </c>
      <c r="D8" s="1" t="s">
        <v>17</v>
      </c>
      <c r="E8" s="4">
        <v>45775.0</v>
      </c>
      <c r="F8" s="1" t="s">
        <v>13</v>
      </c>
      <c r="G8" s="1">
        <v>28.0</v>
      </c>
      <c r="H8" s="1">
        <v>4.0</v>
      </c>
      <c r="I8" s="1">
        <v>2025.0</v>
      </c>
      <c r="J8" s="1" t="s">
        <v>24</v>
      </c>
    </row>
    <row r="9">
      <c r="A9" s="1">
        <v>109.0</v>
      </c>
      <c r="B9" s="3" t="s">
        <v>32</v>
      </c>
      <c r="C9" s="2" t="s">
        <v>33</v>
      </c>
      <c r="D9" s="1" t="s">
        <v>34</v>
      </c>
      <c r="E9" s="4">
        <v>45783.0</v>
      </c>
      <c r="F9" s="1" t="s">
        <v>13</v>
      </c>
      <c r="G9" s="1">
        <v>28.0</v>
      </c>
      <c r="H9" s="1">
        <v>4.0</v>
      </c>
      <c r="I9" s="1">
        <v>2025.0</v>
      </c>
      <c r="J9" s="1" t="s">
        <v>24</v>
      </c>
    </row>
    <row r="10">
      <c r="A10" s="1">
        <v>110.0</v>
      </c>
      <c r="B10" s="3" t="s">
        <v>35</v>
      </c>
      <c r="C10" s="2" t="s">
        <v>36</v>
      </c>
      <c r="D10" s="1" t="s">
        <v>37</v>
      </c>
      <c r="E10" s="1" t="s">
        <v>23</v>
      </c>
      <c r="F10" s="1" t="s">
        <v>13</v>
      </c>
      <c r="G10" s="1">
        <v>28.0</v>
      </c>
      <c r="H10" s="1">
        <v>4.0</v>
      </c>
      <c r="I10" s="1">
        <v>2025.0</v>
      </c>
      <c r="J10" s="1" t="s">
        <v>24</v>
      </c>
    </row>
    <row r="11">
      <c r="A11" s="1">
        <v>111.0</v>
      </c>
      <c r="B11" s="3" t="s">
        <v>38</v>
      </c>
      <c r="C11" s="2" t="s">
        <v>39</v>
      </c>
      <c r="D11" s="1" t="s">
        <v>40</v>
      </c>
      <c r="E11" s="1" t="s">
        <v>23</v>
      </c>
      <c r="F11" s="1" t="s">
        <v>13</v>
      </c>
      <c r="G11" s="1">
        <v>28.0</v>
      </c>
      <c r="H11" s="1">
        <v>4.0</v>
      </c>
      <c r="I11" s="1">
        <v>2025.0</v>
      </c>
      <c r="J11" s="1" t="s">
        <v>24</v>
      </c>
    </row>
    <row r="12">
      <c r="A12" s="1">
        <v>112.0</v>
      </c>
      <c r="B12" s="3" t="s">
        <v>41</v>
      </c>
      <c r="C12" s="2" t="s">
        <v>42</v>
      </c>
      <c r="D12" s="1" t="s">
        <v>17</v>
      </c>
      <c r="E12" s="1" t="s">
        <v>23</v>
      </c>
      <c r="F12" s="1"/>
      <c r="G12" s="1"/>
      <c r="H12" s="1"/>
      <c r="I12" s="1"/>
      <c r="J12" s="1"/>
    </row>
    <row r="13">
      <c r="A13" s="1">
        <v>113.0</v>
      </c>
      <c r="B13" s="3" t="s">
        <v>43</v>
      </c>
      <c r="C13" s="2" t="s">
        <v>44</v>
      </c>
      <c r="D13" s="1" t="s">
        <v>17</v>
      </c>
      <c r="E13" s="1" t="s">
        <v>23</v>
      </c>
      <c r="F13" s="1"/>
      <c r="G13" s="1"/>
      <c r="H13" s="1"/>
      <c r="I13" s="1"/>
      <c r="J13" s="1"/>
    </row>
    <row r="14">
      <c r="A14" s="1">
        <v>114.0</v>
      </c>
      <c r="B14" s="3" t="s">
        <v>45</v>
      </c>
      <c r="C14" s="2" t="s">
        <v>46</v>
      </c>
      <c r="D14" s="1" t="s">
        <v>47</v>
      </c>
      <c r="E14" s="1" t="s">
        <v>48</v>
      </c>
      <c r="F14" s="1"/>
      <c r="G14" s="1"/>
      <c r="H14" s="1"/>
      <c r="I14" s="1"/>
      <c r="J14" s="1"/>
    </row>
    <row r="15">
      <c r="A15" s="1">
        <v>116.0</v>
      </c>
      <c r="B15" s="3" t="s">
        <v>49</v>
      </c>
      <c r="C15" s="2" t="s">
        <v>50</v>
      </c>
      <c r="D15" s="1" t="s">
        <v>34</v>
      </c>
      <c r="E15" s="1" t="s">
        <v>48</v>
      </c>
      <c r="F15" s="1"/>
      <c r="G15" s="1"/>
      <c r="H15" s="1"/>
      <c r="I15" s="1"/>
      <c r="J15" s="1"/>
    </row>
    <row r="16">
      <c r="A16" s="1">
        <v>117.0</v>
      </c>
      <c r="B16" s="3" t="s">
        <v>51</v>
      </c>
      <c r="C16" s="2" t="s">
        <v>52</v>
      </c>
      <c r="D16" s="1" t="s">
        <v>17</v>
      </c>
      <c r="E16" s="1" t="s">
        <v>53</v>
      </c>
      <c r="F16" s="1"/>
      <c r="G16" s="1"/>
      <c r="H16" s="1"/>
      <c r="I16" s="1"/>
      <c r="J16" s="1"/>
    </row>
    <row r="17">
      <c r="A17" s="1">
        <v>118.0</v>
      </c>
      <c r="B17" s="3" t="s">
        <v>54</v>
      </c>
      <c r="C17" s="2" t="s">
        <v>55</v>
      </c>
      <c r="D17" s="1" t="s">
        <v>17</v>
      </c>
      <c r="E17" s="1" t="s">
        <v>56</v>
      </c>
      <c r="F17" s="1"/>
      <c r="G17" s="1"/>
      <c r="H17" s="1"/>
      <c r="I17" s="1"/>
      <c r="J17" s="1"/>
    </row>
    <row r="18">
      <c r="A18" s="1">
        <v>119.0</v>
      </c>
      <c r="B18" s="3" t="s">
        <v>57</v>
      </c>
      <c r="C18" s="2" t="s">
        <v>58</v>
      </c>
      <c r="D18" s="1" t="s">
        <v>37</v>
      </c>
      <c r="E18" s="1" t="s">
        <v>48</v>
      </c>
      <c r="F18" s="1"/>
      <c r="G18" s="1"/>
      <c r="H18" s="1"/>
      <c r="I18" s="1"/>
      <c r="J18" s="1"/>
    </row>
    <row r="19">
      <c r="A19" s="5"/>
      <c r="D19" s="5"/>
    </row>
    <row r="20">
      <c r="A20" s="5"/>
      <c r="D20" s="5"/>
    </row>
    <row r="21" ht="15.75" customHeight="1">
      <c r="A21" s="5"/>
      <c r="D21" s="5"/>
    </row>
    <row r="22" ht="15.75" customHeight="1">
      <c r="A22" s="5"/>
      <c r="D22" s="5"/>
    </row>
    <row r="23" ht="15.75" customHeight="1">
      <c r="A23" s="5"/>
      <c r="D23" s="5"/>
    </row>
    <row r="24" ht="15.75" customHeight="1">
      <c r="A24" s="5"/>
      <c r="D24" s="5"/>
    </row>
    <row r="25" ht="15.75" customHeight="1">
      <c r="A25" s="5"/>
      <c r="D25" s="5"/>
    </row>
    <row r="26" ht="15.75" customHeight="1">
      <c r="A26" s="5"/>
      <c r="D26" s="5"/>
    </row>
    <row r="27" ht="15.75" customHeight="1">
      <c r="A27" s="5"/>
      <c r="D27" s="5"/>
    </row>
    <row r="28" ht="15.75" customHeight="1">
      <c r="A28" s="5"/>
      <c r="D28" s="5"/>
    </row>
    <row r="29" ht="15.75" customHeight="1">
      <c r="A29" s="5"/>
      <c r="D29" s="5"/>
    </row>
    <row r="30" ht="15.75" customHeight="1">
      <c r="A30" s="5"/>
      <c r="D30" s="5"/>
    </row>
    <row r="31" ht="15.75" customHeight="1">
      <c r="A31" s="5"/>
      <c r="D31" s="5"/>
    </row>
    <row r="32" ht="15.75" customHeight="1">
      <c r="A32" s="5"/>
      <c r="D32" s="5"/>
    </row>
    <row r="33" ht="15.75" customHeight="1">
      <c r="A33" s="5"/>
      <c r="D33" s="5"/>
    </row>
    <row r="34" ht="15.75" customHeight="1">
      <c r="A34" s="5"/>
      <c r="D34" s="5"/>
    </row>
    <row r="35" ht="15.75" customHeight="1">
      <c r="A35" s="5"/>
      <c r="D35" s="5"/>
    </row>
    <row r="36" ht="15.75" customHeight="1">
      <c r="A36" s="5"/>
      <c r="D36" s="5"/>
    </row>
    <row r="37" ht="15.75" customHeight="1">
      <c r="A37" s="5"/>
      <c r="D37" s="5"/>
    </row>
    <row r="38" ht="15.75" customHeight="1">
      <c r="A38" s="5"/>
      <c r="D38" s="5"/>
    </row>
    <row r="39" ht="15.75" customHeight="1">
      <c r="A39" s="5"/>
      <c r="D39" s="5"/>
    </row>
    <row r="40" ht="15.75" customHeight="1">
      <c r="A40" s="5"/>
      <c r="D40" s="5"/>
    </row>
    <row r="41" ht="15.75" customHeight="1">
      <c r="A41" s="5"/>
      <c r="D41" s="5"/>
    </row>
    <row r="42" ht="15.75" customHeight="1">
      <c r="A42" s="5"/>
      <c r="D42" s="5"/>
    </row>
    <row r="43" ht="15.75" customHeight="1">
      <c r="A43" s="5"/>
      <c r="D43" s="5"/>
    </row>
    <row r="44" ht="15.75" customHeight="1">
      <c r="A44" s="5"/>
      <c r="D44" s="5"/>
    </row>
    <row r="45" ht="15.75" customHeight="1">
      <c r="A45" s="5"/>
      <c r="D45" s="5"/>
    </row>
    <row r="46" ht="15.75" customHeight="1">
      <c r="A46" s="5"/>
      <c r="D46" s="5"/>
    </row>
    <row r="47" ht="15.75" customHeight="1">
      <c r="A47" s="5"/>
      <c r="D47" s="5"/>
    </row>
    <row r="48" ht="15.75" customHeight="1">
      <c r="A48" s="5"/>
      <c r="D48" s="5"/>
    </row>
    <row r="49" ht="15.75" customHeight="1">
      <c r="A49" s="5"/>
      <c r="D49" s="5"/>
    </row>
    <row r="50" ht="15.75" customHeight="1">
      <c r="A50" s="5"/>
      <c r="D50" s="5"/>
    </row>
    <row r="51" ht="15.75" customHeight="1">
      <c r="A51" s="5"/>
      <c r="D51" s="5"/>
    </row>
    <row r="52" ht="15.75" customHeight="1">
      <c r="A52" s="5"/>
      <c r="D52" s="5"/>
    </row>
    <row r="53" ht="15.75" customHeight="1">
      <c r="A53" s="5"/>
      <c r="D53" s="5"/>
    </row>
    <row r="54" ht="15.75" customHeight="1">
      <c r="A54" s="5"/>
      <c r="D54" s="5"/>
    </row>
    <row r="55" ht="15.75" customHeight="1">
      <c r="A55" s="5"/>
      <c r="D55" s="5"/>
    </row>
    <row r="56" ht="15.75" customHeight="1">
      <c r="A56" s="5"/>
      <c r="D56" s="5"/>
    </row>
    <row r="57" ht="15.75" customHeight="1">
      <c r="A57" s="5"/>
      <c r="D57" s="5"/>
    </row>
    <row r="58" ht="15.75" customHeight="1">
      <c r="A58" s="5"/>
      <c r="D58" s="5"/>
    </row>
    <row r="59" ht="15.75" customHeight="1">
      <c r="A59" s="5"/>
      <c r="D59" s="5"/>
    </row>
    <row r="60" ht="15.75" customHeight="1">
      <c r="A60" s="5"/>
      <c r="D60" s="5"/>
    </row>
    <row r="61" ht="15.75" customHeight="1">
      <c r="A61" s="5"/>
      <c r="D61" s="5"/>
    </row>
    <row r="62" ht="15.75" customHeight="1">
      <c r="A62" s="5"/>
      <c r="D62" s="5"/>
    </row>
    <row r="63" ht="15.75" customHeight="1">
      <c r="A63" s="5"/>
      <c r="D63" s="5"/>
    </row>
    <row r="64" ht="15.75" customHeight="1">
      <c r="A64" s="5"/>
      <c r="D64" s="5"/>
    </row>
    <row r="65" ht="15.75" customHeight="1">
      <c r="A65" s="5"/>
      <c r="D65" s="5"/>
    </row>
    <row r="66" ht="15.75" customHeight="1">
      <c r="A66" s="5"/>
      <c r="D66" s="5"/>
    </row>
    <row r="67" ht="15.75" customHeight="1">
      <c r="A67" s="5"/>
      <c r="D67" s="5"/>
    </row>
    <row r="68" ht="15.75" customHeight="1">
      <c r="A68" s="5"/>
      <c r="D68" s="5"/>
    </row>
    <row r="69" ht="15.75" customHeight="1">
      <c r="A69" s="5"/>
      <c r="D69" s="5"/>
    </row>
    <row r="70" ht="15.75" customHeight="1">
      <c r="A70" s="5"/>
      <c r="D70" s="5"/>
    </row>
    <row r="71" ht="15.75" customHeight="1">
      <c r="A71" s="5"/>
      <c r="D71" s="5"/>
    </row>
    <row r="72" ht="15.75" customHeight="1">
      <c r="A72" s="5"/>
      <c r="D72" s="5"/>
    </row>
    <row r="73" ht="15.75" customHeight="1">
      <c r="A73" s="5"/>
      <c r="D73" s="5"/>
    </row>
    <row r="74" ht="15.75" customHeight="1">
      <c r="A74" s="5"/>
      <c r="D74" s="5"/>
    </row>
    <row r="75" ht="15.75" customHeight="1">
      <c r="A75" s="5"/>
      <c r="D75" s="5"/>
    </row>
    <row r="76" ht="15.75" customHeight="1">
      <c r="A76" s="5"/>
      <c r="D76" s="5"/>
    </row>
    <row r="77" ht="15.75" customHeight="1">
      <c r="A77" s="5"/>
      <c r="D77" s="5"/>
    </row>
    <row r="78" ht="15.75" customHeight="1">
      <c r="A78" s="5"/>
      <c r="D78" s="5"/>
    </row>
    <row r="79" ht="15.75" customHeight="1">
      <c r="A79" s="5"/>
      <c r="D79" s="5"/>
    </row>
    <row r="80" ht="15.75" customHeight="1">
      <c r="A80" s="5"/>
      <c r="D80" s="5"/>
    </row>
    <row r="81" ht="15.75" customHeight="1">
      <c r="A81" s="5"/>
      <c r="D81" s="5"/>
    </row>
    <row r="82" ht="15.75" customHeight="1">
      <c r="A82" s="5"/>
      <c r="D82" s="5"/>
    </row>
    <row r="83" ht="15.75" customHeight="1">
      <c r="A83" s="5"/>
      <c r="D83" s="5"/>
    </row>
    <row r="84" ht="15.75" customHeight="1">
      <c r="A84" s="5"/>
      <c r="D84" s="5"/>
    </row>
    <row r="85" ht="15.75" customHeight="1">
      <c r="A85" s="5"/>
      <c r="D85" s="5"/>
    </row>
    <row r="86" ht="15.75" customHeight="1">
      <c r="A86" s="5"/>
      <c r="D86" s="5"/>
    </row>
    <row r="87" ht="15.75" customHeight="1">
      <c r="A87" s="5"/>
      <c r="D87" s="5"/>
    </row>
    <row r="88" ht="15.75" customHeight="1">
      <c r="A88" s="5"/>
      <c r="D88" s="5"/>
    </row>
    <row r="89" ht="15.75" customHeight="1">
      <c r="A89" s="5"/>
      <c r="D89" s="5"/>
    </row>
    <row r="90" ht="15.75" customHeight="1">
      <c r="A90" s="5"/>
      <c r="D90" s="5"/>
    </row>
    <row r="91" ht="15.75" customHeight="1">
      <c r="A91" s="5"/>
      <c r="D91" s="5"/>
    </row>
    <row r="92" ht="15.75" customHeight="1">
      <c r="A92" s="5"/>
      <c r="D92" s="5"/>
    </row>
    <row r="93" ht="15.75" customHeight="1">
      <c r="A93" s="5"/>
      <c r="D93" s="5"/>
    </row>
    <row r="94" ht="15.75" customHeight="1">
      <c r="A94" s="5"/>
      <c r="D94" s="5"/>
    </row>
    <row r="95" ht="15.75" customHeight="1">
      <c r="A95" s="5"/>
      <c r="D95" s="5"/>
    </row>
    <row r="96" ht="15.75" customHeight="1">
      <c r="A96" s="5"/>
      <c r="D96" s="5"/>
    </row>
    <row r="97" ht="15.75" customHeight="1">
      <c r="A97" s="5"/>
      <c r="D97" s="5"/>
    </row>
    <row r="98" ht="15.75" customHeight="1">
      <c r="A98" s="5"/>
      <c r="D98" s="5"/>
    </row>
    <row r="99" ht="15.75" customHeight="1">
      <c r="A99" s="5"/>
      <c r="D99" s="5"/>
    </row>
    <row r="100" ht="15.75" customHeight="1">
      <c r="A100" s="5"/>
      <c r="D100" s="5"/>
    </row>
    <row r="101" ht="15.75" customHeight="1">
      <c r="A101" s="5"/>
      <c r="D101" s="5"/>
    </row>
    <row r="102" ht="15.75" customHeight="1">
      <c r="A102" s="5"/>
      <c r="D102" s="5"/>
    </row>
    <row r="103" ht="15.75" customHeight="1">
      <c r="A103" s="5"/>
      <c r="D103" s="5"/>
    </row>
    <row r="104" ht="15.75" customHeight="1">
      <c r="A104" s="5"/>
      <c r="D104" s="5"/>
    </row>
    <row r="105" ht="15.75" customHeight="1">
      <c r="A105" s="5"/>
      <c r="D105" s="5"/>
    </row>
    <row r="106" ht="15.75" customHeight="1">
      <c r="A106" s="5"/>
      <c r="D106" s="5"/>
    </row>
    <row r="107" ht="15.75" customHeight="1">
      <c r="A107" s="5"/>
      <c r="D107" s="5"/>
    </row>
    <row r="108" ht="15.75" customHeight="1">
      <c r="A108" s="5"/>
      <c r="D108" s="5"/>
    </row>
    <row r="109" ht="15.75" customHeight="1">
      <c r="A109" s="5"/>
      <c r="D109" s="5"/>
    </row>
    <row r="110" ht="15.75" customHeight="1">
      <c r="A110" s="5"/>
      <c r="D110" s="5"/>
    </row>
    <row r="111" ht="15.75" customHeight="1">
      <c r="A111" s="5"/>
      <c r="D111" s="5"/>
    </row>
    <row r="112" ht="15.75" customHeight="1">
      <c r="A112" s="5"/>
      <c r="D112" s="5"/>
    </row>
    <row r="113" ht="15.75" customHeight="1">
      <c r="A113" s="5"/>
      <c r="D113" s="5"/>
    </row>
    <row r="114" ht="15.75" customHeight="1">
      <c r="A114" s="5"/>
      <c r="D114" s="5"/>
    </row>
    <row r="115" ht="15.75" customHeight="1">
      <c r="A115" s="5"/>
      <c r="D115" s="5"/>
    </row>
    <row r="116" ht="15.75" customHeight="1">
      <c r="A116" s="5"/>
      <c r="D116" s="5"/>
    </row>
    <row r="117" ht="15.75" customHeight="1">
      <c r="A117" s="5"/>
      <c r="D117" s="5"/>
    </row>
    <row r="118" ht="15.75" customHeight="1">
      <c r="A118" s="5"/>
      <c r="D118" s="5"/>
    </row>
    <row r="119" ht="15.75" customHeight="1">
      <c r="A119" s="5"/>
      <c r="D119" s="5"/>
    </row>
    <row r="120" ht="15.75" customHeight="1">
      <c r="A120" s="5"/>
      <c r="D120" s="5"/>
    </row>
    <row r="121" ht="15.75" customHeight="1">
      <c r="A121" s="5"/>
      <c r="D121" s="5"/>
    </row>
    <row r="122" ht="15.75" customHeight="1">
      <c r="A122" s="5"/>
      <c r="D122" s="5"/>
    </row>
    <row r="123" ht="15.75" customHeight="1">
      <c r="A123" s="5"/>
      <c r="D123" s="5"/>
    </row>
    <row r="124" ht="15.75" customHeight="1">
      <c r="A124" s="5"/>
      <c r="D124" s="5"/>
    </row>
    <row r="125" ht="15.75" customHeight="1">
      <c r="A125" s="5"/>
      <c r="D125" s="5"/>
    </row>
    <row r="126" ht="15.75" customHeight="1">
      <c r="A126" s="5"/>
      <c r="D126" s="5"/>
    </row>
    <row r="127" ht="15.75" customHeight="1">
      <c r="A127" s="5"/>
      <c r="D127" s="5"/>
    </row>
    <row r="128" ht="15.75" customHeight="1">
      <c r="A128" s="5"/>
      <c r="D128" s="5"/>
    </row>
    <row r="129" ht="15.75" customHeight="1">
      <c r="A129" s="5"/>
      <c r="D129" s="5"/>
    </row>
    <row r="130" ht="15.75" customHeight="1">
      <c r="A130" s="5"/>
      <c r="D130" s="5"/>
    </row>
    <row r="131" ht="15.75" customHeight="1">
      <c r="A131" s="5"/>
      <c r="D131" s="5"/>
    </row>
    <row r="132" ht="15.75" customHeight="1">
      <c r="A132" s="5"/>
      <c r="D132" s="5"/>
    </row>
    <row r="133" ht="15.75" customHeight="1">
      <c r="A133" s="5"/>
      <c r="D133" s="5"/>
    </row>
    <row r="134" ht="15.75" customHeight="1">
      <c r="A134" s="5"/>
      <c r="D134" s="5"/>
    </row>
    <row r="135" ht="15.75" customHeight="1">
      <c r="A135" s="5"/>
      <c r="D135" s="5"/>
    </row>
    <row r="136" ht="15.75" customHeight="1">
      <c r="A136" s="5"/>
      <c r="D136" s="5"/>
    </row>
    <row r="137" ht="15.75" customHeight="1">
      <c r="A137" s="5"/>
      <c r="D137" s="5"/>
    </row>
    <row r="138" ht="15.75" customHeight="1">
      <c r="A138" s="5"/>
      <c r="D138" s="5"/>
    </row>
    <row r="139" ht="15.75" customHeight="1">
      <c r="A139" s="5"/>
      <c r="D139" s="5"/>
    </row>
    <row r="140" ht="15.75" customHeight="1">
      <c r="A140" s="5"/>
      <c r="D140" s="5"/>
    </row>
    <row r="141" ht="15.75" customHeight="1">
      <c r="A141" s="5"/>
      <c r="D141" s="5"/>
    </row>
    <row r="142" ht="15.75" customHeight="1">
      <c r="A142" s="5"/>
      <c r="D142" s="5"/>
    </row>
    <row r="143" ht="15.75" customHeight="1">
      <c r="A143" s="5"/>
      <c r="D143" s="5"/>
    </row>
    <row r="144" ht="15.75" customHeight="1">
      <c r="A144" s="5"/>
      <c r="D144" s="5"/>
    </row>
    <row r="145" ht="15.75" customHeight="1">
      <c r="A145" s="5"/>
      <c r="D145" s="5"/>
    </row>
    <row r="146" ht="15.75" customHeight="1">
      <c r="A146" s="5"/>
      <c r="D146" s="5"/>
    </row>
    <row r="147" ht="15.75" customHeight="1">
      <c r="A147" s="5"/>
      <c r="D147" s="5"/>
    </row>
    <row r="148" ht="15.75" customHeight="1">
      <c r="A148" s="5"/>
      <c r="D148" s="5"/>
    </row>
    <row r="149" ht="15.75" customHeight="1">
      <c r="A149" s="5"/>
      <c r="D149" s="5"/>
    </row>
    <row r="150" ht="15.75" customHeight="1">
      <c r="A150" s="5"/>
      <c r="D150" s="5"/>
    </row>
    <row r="151" ht="15.75" customHeight="1">
      <c r="A151" s="5"/>
      <c r="D151" s="5"/>
    </row>
    <row r="152" ht="15.75" customHeight="1">
      <c r="A152" s="5"/>
      <c r="D152" s="5"/>
    </row>
    <row r="153" ht="15.75" customHeight="1">
      <c r="A153" s="5"/>
      <c r="D153" s="5"/>
    </row>
    <row r="154" ht="15.75" customHeight="1">
      <c r="A154" s="5"/>
      <c r="D154" s="5"/>
    </row>
    <row r="155" ht="15.75" customHeight="1">
      <c r="A155" s="5"/>
      <c r="D155" s="5"/>
    </row>
    <row r="156" ht="15.75" customHeight="1">
      <c r="A156" s="5"/>
      <c r="D156" s="5"/>
    </row>
    <row r="157" ht="15.75" customHeight="1">
      <c r="A157" s="5"/>
      <c r="D157" s="5"/>
    </row>
    <row r="158" ht="15.75" customHeight="1">
      <c r="A158" s="5"/>
      <c r="D158" s="5"/>
    </row>
    <row r="159" ht="15.75" customHeight="1">
      <c r="A159" s="5"/>
      <c r="D159" s="5"/>
    </row>
    <row r="160" ht="15.75" customHeight="1">
      <c r="A160" s="5"/>
      <c r="D160" s="5"/>
    </row>
    <row r="161" ht="15.75" customHeight="1">
      <c r="A161" s="5"/>
      <c r="D161" s="5"/>
    </row>
    <row r="162" ht="15.75" customHeight="1">
      <c r="A162" s="5"/>
      <c r="D162" s="5"/>
    </row>
    <row r="163" ht="15.75" customHeight="1">
      <c r="A163" s="5"/>
      <c r="D163" s="5"/>
    </row>
    <row r="164" ht="15.75" customHeight="1">
      <c r="A164" s="5"/>
      <c r="D164" s="5"/>
    </row>
    <row r="165" ht="15.75" customHeight="1">
      <c r="A165" s="5"/>
      <c r="D165" s="5"/>
    </row>
    <row r="166" ht="15.75" customHeight="1">
      <c r="A166" s="5"/>
      <c r="D166" s="5"/>
    </row>
    <row r="167" ht="15.75" customHeight="1">
      <c r="A167" s="5"/>
      <c r="D167" s="5"/>
    </row>
    <row r="168" ht="15.75" customHeight="1">
      <c r="A168" s="5"/>
      <c r="D168" s="5"/>
    </row>
    <row r="169" ht="15.75" customHeight="1">
      <c r="A169" s="5"/>
      <c r="D169" s="5"/>
    </row>
    <row r="170" ht="15.75" customHeight="1">
      <c r="A170" s="5"/>
      <c r="D170" s="5"/>
    </row>
    <row r="171" ht="15.75" customHeight="1">
      <c r="A171" s="5"/>
      <c r="D171" s="5"/>
    </row>
    <row r="172" ht="15.75" customHeight="1">
      <c r="A172" s="5"/>
      <c r="D172" s="5"/>
    </row>
    <row r="173" ht="15.75" customHeight="1">
      <c r="A173" s="5"/>
      <c r="D173" s="5"/>
    </row>
    <row r="174" ht="15.75" customHeight="1">
      <c r="A174" s="5"/>
      <c r="D174" s="5"/>
    </row>
    <row r="175" ht="15.75" customHeight="1">
      <c r="A175" s="5"/>
      <c r="D175" s="5"/>
    </row>
    <row r="176" ht="15.75" customHeight="1">
      <c r="A176" s="5"/>
      <c r="D176" s="5"/>
    </row>
    <row r="177" ht="15.75" customHeight="1">
      <c r="A177" s="5"/>
      <c r="D177" s="5"/>
    </row>
    <row r="178" ht="15.75" customHeight="1">
      <c r="A178" s="5"/>
      <c r="D178" s="5"/>
    </row>
    <row r="179" ht="15.75" customHeight="1">
      <c r="A179" s="5"/>
      <c r="D179" s="5"/>
    </row>
    <row r="180" ht="15.75" customHeight="1">
      <c r="A180" s="5"/>
      <c r="D180" s="5"/>
    </row>
    <row r="181" ht="15.75" customHeight="1">
      <c r="A181" s="5"/>
      <c r="D181" s="5"/>
    </row>
    <row r="182" ht="15.75" customHeight="1">
      <c r="A182" s="5"/>
      <c r="D182" s="5"/>
    </row>
    <row r="183" ht="15.75" customHeight="1">
      <c r="A183" s="5"/>
      <c r="D183" s="5"/>
    </row>
    <row r="184" ht="15.75" customHeight="1">
      <c r="A184" s="5"/>
      <c r="D184" s="5"/>
    </row>
    <row r="185" ht="15.75" customHeight="1">
      <c r="A185" s="5"/>
      <c r="D185" s="5"/>
    </row>
    <row r="186" ht="15.75" customHeight="1">
      <c r="A186" s="5"/>
      <c r="D186" s="5"/>
    </row>
    <row r="187" ht="15.75" customHeight="1">
      <c r="A187" s="5"/>
      <c r="D187" s="5"/>
    </row>
    <row r="188" ht="15.75" customHeight="1">
      <c r="A188" s="5"/>
      <c r="D188" s="5"/>
    </row>
    <row r="189" ht="15.75" customHeight="1">
      <c r="A189" s="5"/>
      <c r="D189" s="5"/>
    </row>
    <row r="190" ht="15.75" customHeight="1">
      <c r="A190" s="5"/>
      <c r="D190" s="5"/>
    </row>
    <row r="191" ht="15.75" customHeight="1">
      <c r="A191" s="5"/>
      <c r="D191" s="5"/>
    </row>
    <row r="192" ht="15.75" customHeight="1">
      <c r="A192" s="5"/>
      <c r="D192" s="5"/>
    </row>
    <row r="193" ht="15.75" customHeight="1">
      <c r="A193" s="5"/>
      <c r="D193" s="5"/>
    </row>
    <row r="194" ht="15.75" customHeight="1">
      <c r="A194" s="5"/>
      <c r="D194" s="5"/>
    </row>
    <row r="195" ht="15.75" customHeight="1">
      <c r="A195" s="5"/>
      <c r="D195" s="5"/>
    </row>
    <row r="196" ht="15.75" customHeight="1">
      <c r="A196" s="5"/>
      <c r="D196" s="5"/>
    </row>
    <row r="197" ht="15.75" customHeight="1">
      <c r="A197" s="5"/>
      <c r="D197" s="5"/>
    </row>
    <row r="198" ht="15.75" customHeight="1">
      <c r="A198" s="5"/>
      <c r="D198" s="5"/>
    </row>
    <row r="199" ht="15.75" customHeight="1">
      <c r="A199" s="5"/>
      <c r="D199" s="5"/>
    </row>
    <row r="200" ht="15.75" customHeight="1">
      <c r="A200" s="5"/>
      <c r="D200" s="5"/>
    </row>
    <row r="201" ht="15.75" customHeight="1">
      <c r="A201" s="5"/>
      <c r="D201" s="5"/>
    </row>
    <row r="202" ht="15.75" customHeight="1">
      <c r="A202" s="5"/>
      <c r="D202" s="5"/>
    </row>
    <row r="203" ht="15.75" customHeight="1">
      <c r="A203" s="5"/>
      <c r="D203" s="5"/>
    </row>
    <row r="204" ht="15.75" customHeight="1">
      <c r="A204" s="5"/>
      <c r="D204" s="5"/>
    </row>
    <row r="205" ht="15.75" customHeight="1">
      <c r="A205" s="5"/>
      <c r="D205" s="5"/>
    </row>
    <row r="206" ht="15.75" customHeight="1">
      <c r="A206" s="5"/>
      <c r="D206" s="5"/>
    </row>
    <row r="207" ht="15.75" customHeight="1">
      <c r="A207" s="5"/>
      <c r="D207" s="5"/>
    </row>
    <row r="208" ht="15.75" customHeight="1">
      <c r="A208" s="5"/>
      <c r="D208" s="5"/>
    </row>
    <row r="209" ht="15.75" customHeight="1">
      <c r="A209" s="5"/>
      <c r="D209" s="5"/>
    </row>
    <row r="210" ht="15.75" customHeight="1">
      <c r="A210" s="5"/>
      <c r="D210" s="5"/>
    </row>
    <row r="211" ht="15.75" customHeight="1">
      <c r="A211" s="5"/>
      <c r="D211" s="5"/>
    </row>
    <row r="212" ht="15.75" customHeight="1">
      <c r="A212" s="5"/>
      <c r="D212" s="5"/>
    </row>
    <row r="213" ht="15.75" customHeight="1">
      <c r="A213" s="5"/>
      <c r="D213" s="5"/>
    </row>
    <row r="214" ht="15.75" customHeight="1">
      <c r="A214" s="5"/>
      <c r="D214" s="5"/>
    </row>
    <row r="215" ht="15.75" customHeight="1">
      <c r="A215" s="5"/>
      <c r="D215" s="5"/>
    </row>
    <row r="216" ht="15.75" customHeight="1">
      <c r="A216" s="5"/>
      <c r="D216" s="5"/>
    </row>
    <row r="217" ht="15.75" customHeight="1">
      <c r="A217" s="5"/>
      <c r="D217" s="5"/>
    </row>
    <row r="218" ht="15.75" customHeight="1">
      <c r="A218" s="5"/>
      <c r="D218" s="5"/>
    </row>
    <row r="219" ht="15.75" customHeight="1">
      <c r="A219" s="5"/>
      <c r="D219" s="5"/>
    </row>
    <row r="220" ht="15.75" customHeight="1">
      <c r="A220" s="5"/>
      <c r="D220" s="5"/>
    </row>
    <row r="221" ht="15.75" customHeight="1">
      <c r="A221" s="5"/>
      <c r="D221" s="5"/>
    </row>
    <row r="222" ht="15.75" customHeight="1">
      <c r="A222" s="5"/>
      <c r="D222" s="5"/>
    </row>
    <row r="223" ht="15.75" customHeight="1">
      <c r="A223" s="5"/>
      <c r="D223" s="5"/>
    </row>
    <row r="224" ht="15.75" customHeight="1">
      <c r="A224" s="5"/>
      <c r="D224" s="5"/>
    </row>
    <row r="225" ht="15.75" customHeight="1">
      <c r="A225" s="5"/>
      <c r="D225" s="5"/>
    </row>
    <row r="226" ht="15.75" customHeight="1">
      <c r="A226" s="5"/>
      <c r="D226" s="5"/>
    </row>
    <row r="227" ht="15.75" customHeight="1">
      <c r="A227" s="5"/>
      <c r="D227" s="5"/>
    </row>
    <row r="228" ht="15.75" customHeight="1">
      <c r="A228" s="5"/>
      <c r="D228" s="5"/>
    </row>
    <row r="229" ht="15.75" customHeight="1">
      <c r="A229" s="5"/>
      <c r="D229" s="5"/>
    </row>
    <row r="230" ht="15.75" customHeight="1">
      <c r="A230" s="5"/>
      <c r="D230" s="5"/>
    </row>
    <row r="231" ht="15.75" customHeight="1">
      <c r="A231" s="5"/>
      <c r="D231" s="5"/>
    </row>
    <row r="232" ht="15.75" customHeight="1">
      <c r="A232" s="5"/>
      <c r="D232" s="5"/>
    </row>
    <row r="233" ht="15.75" customHeight="1">
      <c r="A233" s="5"/>
      <c r="D233" s="5"/>
    </row>
    <row r="234" ht="15.75" customHeight="1">
      <c r="A234" s="5"/>
      <c r="D234" s="5"/>
    </row>
    <row r="235" ht="15.75" customHeight="1">
      <c r="A235" s="5"/>
      <c r="D235" s="5"/>
    </row>
    <row r="236" ht="15.75" customHeight="1">
      <c r="A236" s="5"/>
      <c r="D236" s="5"/>
    </row>
    <row r="237" ht="15.75" customHeight="1">
      <c r="A237" s="5"/>
      <c r="D237" s="5"/>
    </row>
    <row r="238" ht="15.75" customHeight="1">
      <c r="A238" s="5"/>
      <c r="D238" s="5"/>
    </row>
    <row r="239" ht="15.75" customHeight="1">
      <c r="A239" s="5"/>
      <c r="D239" s="5"/>
    </row>
    <row r="240" ht="15.75" customHeight="1">
      <c r="A240" s="5"/>
      <c r="D240" s="5"/>
    </row>
    <row r="241" ht="15.75" customHeight="1">
      <c r="A241" s="5"/>
      <c r="D241" s="5"/>
    </row>
    <row r="242" ht="15.75" customHeight="1">
      <c r="A242" s="5"/>
      <c r="D242" s="5"/>
    </row>
    <row r="243" ht="15.75" customHeight="1">
      <c r="A243" s="5"/>
      <c r="D243" s="5"/>
    </row>
    <row r="244" ht="15.75" customHeight="1">
      <c r="A244" s="5"/>
      <c r="D244" s="5"/>
    </row>
    <row r="245" ht="15.75" customHeight="1">
      <c r="A245" s="5"/>
      <c r="D245" s="5"/>
    </row>
    <row r="246" ht="15.75" customHeight="1">
      <c r="A246" s="5"/>
      <c r="D246" s="5"/>
    </row>
    <row r="247" ht="15.75" customHeight="1">
      <c r="A247" s="5"/>
      <c r="D247" s="5"/>
    </row>
    <row r="248" ht="15.75" customHeight="1">
      <c r="A248" s="5"/>
      <c r="D248" s="5"/>
    </row>
    <row r="249" ht="15.75" customHeight="1">
      <c r="A249" s="5"/>
      <c r="D249" s="5"/>
    </row>
    <row r="250" ht="15.75" customHeight="1">
      <c r="A250" s="5"/>
      <c r="D250" s="5"/>
    </row>
    <row r="251" ht="15.75" customHeight="1">
      <c r="A251" s="5"/>
      <c r="D251" s="5"/>
    </row>
    <row r="252" ht="15.75" customHeight="1">
      <c r="A252" s="5"/>
      <c r="D252" s="5"/>
    </row>
    <row r="253" ht="15.75" customHeight="1">
      <c r="A253" s="5"/>
      <c r="D253" s="5"/>
    </row>
    <row r="254" ht="15.75" customHeight="1">
      <c r="A254" s="5"/>
      <c r="D254" s="5"/>
    </row>
    <row r="255" ht="15.75" customHeight="1">
      <c r="A255" s="5"/>
      <c r="D255" s="5"/>
    </row>
    <row r="256" ht="15.75" customHeight="1">
      <c r="A256" s="5"/>
      <c r="D256" s="5"/>
    </row>
    <row r="257" ht="15.75" customHeight="1">
      <c r="A257" s="5"/>
      <c r="D257" s="5"/>
    </row>
    <row r="258" ht="15.75" customHeight="1">
      <c r="A258" s="5"/>
      <c r="D258" s="5"/>
    </row>
    <row r="259" ht="15.75" customHeight="1">
      <c r="A259" s="5"/>
      <c r="D259" s="5"/>
    </row>
    <row r="260" ht="15.75" customHeight="1">
      <c r="A260" s="5"/>
      <c r="D260" s="5"/>
    </row>
    <row r="261" ht="15.75" customHeight="1">
      <c r="A261" s="5"/>
      <c r="D261" s="5"/>
    </row>
    <row r="262" ht="15.75" customHeight="1">
      <c r="A262" s="5"/>
      <c r="D262" s="5"/>
    </row>
    <row r="263" ht="15.75" customHeight="1">
      <c r="A263" s="5"/>
      <c r="D263" s="5"/>
    </row>
    <row r="264" ht="15.75" customHeight="1">
      <c r="A264" s="5"/>
      <c r="D264" s="5"/>
    </row>
    <row r="265" ht="15.75" customHeight="1">
      <c r="A265" s="5"/>
      <c r="D265" s="5"/>
    </row>
    <row r="266" ht="15.75" customHeight="1">
      <c r="A266" s="5"/>
      <c r="D266" s="5"/>
    </row>
    <row r="267" ht="15.75" customHeight="1">
      <c r="A267" s="5"/>
      <c r="D267" s="5"/>
    </row>
    <row r="268" ht="15.75" customHeight="1">
      <c r="A268" s="5"/>
      <c r="D268" s="5"/>
    </row>
    <row r="269" ht="15.75" customHeight="1">
      <c r="A269" s="5"/>
      <c r="D269" s="5"/>
    </row>
    <row r="270" ht="15.75" customHeight="1">
      <c r="A270" s="5"/>
      <c r="D270" s="5"/>
    </row>
    <row r="271" ht="15.75" customHeight="1">
      <c r="A271" s="5"/>
      <c r="D271" s="5"/>
    </row>
    <row r="272" ht="15.75" customHeight="1">
      <c r="A272" s="5"/>
      <c r="D272" s="5"/>
    </row>
    <row r="273" ht="15.75" customHeight="1">
      <c r="A273" s="5"/>
      <c r="D273" s="5"/>
    </row>
    <row r="274" ht="15.75" customHeight="1">
      <c r="A274" s="5"/>
      <c r="D274" s="5"/>
    </row>
    <row r="275" ht="15.75" customHeight="1">
      <c r="A275" s="5"/>
      <c r="D275" s="5"/>
    </row>
    <row r="276" ht="15.75" customHeight="1">
      <c r="A276" s="5"/>
      <c r="D276" s="5"/>
    </row>
    <row r="277" ht="15.75" customHeight="1">
      <c r="A277" s="5"/>
      <c r="D277" s="5"/>
    </row>
    <row r="278" ht="15.75" customHeight="1">
      <c r="A278" s="5"/>
      <c r="D278" s="5"/>
    </row>
    <row r="279" ht="15.75" customHeight="1">
      <c r="A279" s="5"/>
      <c r="D279" s="5"/>
    </row>
    <row r="280" ht="15.75" customHeight="1">
      <c r="A280" s="5"/>
      <c r="D280" s="5"/>
    </row>
    <row r="281" ht="15.75" customHeight="1">
      <c r="A281" s="5"/>
      <c r="D281" s="5"/>
    </row>
    <row r="282" ht="15.75" customHeight="1">
      <c r="A282" s="5"/>
      <c r="D282" s="5"/>
    </row>
    <row r="283" ht="15.75" customHeight="1">
      <c r="A283" s="5"/>
      <c r="D283" s="5"/>
    </row>
    <row r="284" ht="15.75" customHeight="1">
      <c r="A284" s="5"/>
      <c r="D284" s="5"/>
    </row>
    <row r="285" ht="15.75" customHeight="1">
      <c r="A285" s="5"/>
      <c r="D285" s="5"/>
    </row>
    <row r="286" ht="15.75" customHeight="1">
      <c r="A286" s="5"/>
      <c r="D286" s="5"/>
    </row>
    <row r="287" ht="15.75" customHeight="1">
      <c r="A287" s="5"/>
      <c r="D287" s="5"/>
    </row>
    <row r="288" ht="15.75" customHeight="1">
      <c r="A288" s="5"/>
      <c r="D288" s="5"/>
    </row>
    <row r="289" ht="15.75" customHeight="1">
      <c r="A289" s="5"/>
      <c r="D289" s="5"/>
    </row>
    <row r="290" ht="15.75" customHeight="1">
      <c r="A290" s="5"/>
      <c r="D290" s="5"/>
    </row>
    <row r="291" ht="15.75" customHeight="1">
      <c r="A291" s="5"/>
      <c r="D291" s="5"/>
    </row>
    <row r="292" ht="15.75" customHeight="1">
      <c r="A292" s="5"/>
      <c r="D292" s="5"/>
    </row>
    <row r="293" ht="15.75" customHeight="1">
      <c r="A293" s="5"/>
      <c r="D293" s="5"/>
    </row>
    <row r="294" ht="15.75" customHeight="1">
      <c r="A294" s="5"/>
      <c r="D294" s="5"/>
    </row>
    <row r="295" ht="15.75" customHeight="1">
      <c r="A295" s="5"/>
      <c r="D295" s="5"/>
    </row>
    <row r="296" ht="15.75" customHeight="1">
      <c r="A296" s="5"/>
      <c r="D296" s="5"/>
    </row>
    <row r="297" ht="15.75" customHeight="1">
      <c r="A297" s="5"/>
      <c r="D297" s="5"/>
    </row>
    <row r="298" ht="15.75" customHeight="1">
      <c r="A298" s="5"/>
      <c r="D298" s="5"/>
    </row>
    <row r="299" ht="15.75" customHeight="1">
      <c r="A299" s="5"/>
      <c r="D299" s="5"/>
    </row>
    <row r="300" ht="15.75" customHeight="1">
      <c r="A300" s="5"/>
      <c r="D300" s="5"/>
    </row>
    <row r="301" ht="15.75" customHeight="1">
      <c r="A301" s="5"/>
      <c r="D301" s="5"/>
    </row>
    <row r="302" ht="15.75" customHeight="1">
      <c r="A302" s="5"/>
      <c r="D302" s="5"/>
    </row>
    <row r="303" ht="15.75" customHeight="1">
      <c r="A303" s="5"/>
      <c r="D303" s="5"/>
    </row>
    <row r="304" ht="15.75" customHeight="1">
      <c r="A304" s="5"/>
      <c r="D304" s="5"/>
    </row>
    <row r="305" ht="15.75" customHeight="1">
      <c r="A305" s="5"/>
      <c r="D305" s="5"/>
    </row>
    <row r="306" ht="15.75" customHeight="1">
      <c r="A306" s="5"/>
      <c r="D306" s="5"/>
    </row>
    <row r="307" ht="15.75" customHeight="1">
      <c r="A307" s="5"/>
      <c r="D307" s="5"/>
    </row>
    <row r="308" ht="15.75" customHeight="1">
      <c r="A308" s="5"/>
      <c r="D308" s="5"/>
    </row>
    <row r="309" ht="15.75" customHeight="1">
      <c r="A309" s="5"/>
      <c r="D309" s="5"/>
    </row>
    <row r="310" ht="15.75" customHeight="1">
      <c r="A310" s="5"/>
      <c r="D310" s="5"/>
    </row>
    <row r="311" ht="15.75" customHeight="1">
      <c r="A311" s="5"/>
      <c r="D311" s="5"/>
    </row>
    <row r="312" ht="15.75" customHeight="1">
      <c r="A312" s="5"/>
      <c r="D312" s="5"/>
    </row>
    <row r="313" ht="15.75" customHeight="1">
      <c r="A313" s="5"/>
      <c r="D313" s="5"/>
    </row>
    <row r="314" ht="15.75" customHeight="1">
      <c r="A314" s="5"/>
      <c r="D314" s="5"/>
    </row>
    <row r="315" ht="15.75" customHeight="1">
      <c r="A315" s="5"/>
      <c r="D315" s="5"/>
    </row>
    <row r="316" ht="15.75" customHeight="1">
      <c r="A316" s="5"/>
      <c r="D316" s="5"/>
    </row>
    <row r="317" ht="15.75" customHeight="1">
      <c r="A317" s="5"/>
      <c r="D317" s="5"/>
    </row>
    <row r="318" ht="15.75" customHeight="1">
      <c r="A318" s="5"/>
      <c r="D318" s="5"/>
    </row>
    <row r="319" ht="15.75" customHeight="1">
      <c r="A319" s="5"/>
      <c r="D319" s="5"/>
    </row>
    <row r="320" ht="15.75" customHeight="1">
      <c r="A320" s="5"/>
      <c r="D320" s="5"/>
    </row>
    <row r="321" ht="15.75" customHeight="1">
      <c r="A321" s="5"/>
      <c r="D321" s="5"/>
    </row>
    <row r="322" ht="15.75" customHeight="1">
      <c r="A322" s="5"/>
      <c r="D322" s="5"/>
    </row>
    <row r="323" ht="15.75" customHeight="1">
      <c r="A323" s="5"/>
      <c r="D323" s="5"/>
    </row>
    <row r="324" ht="15.75" customHeight="1">
      <c r="A324" s="5"/>
      <c r="D324" s="5"/>
    </row>
    <row r="325" ht="15.75" customHeight="1">
      <c r="A325" s="5"/>
      <c r="D325" s="5"/>
    </row>
    <row r="326" ht="15.75" customHeight="1">
      <c r="A326" s="5"/>
      <c r="D326" s="5"/>
    </row>
    <row r="327" ht="15.75" customHeight="1">
      <c r="A327" s="5"/>
      <c r="D327" s="5"/>
    </row>
    <row r="328" ht="15.75" customHeight="1">
      <c r="A328" s="5"/>
      <c r="D328" s="5"/>
    </row>
    <row r="329" ht="15.75" customHeight="1">
      <c r="A329" s="5"/>
      <c r="D329" s="5"/>
    </row>
    <row r="330" ht="15.75" customHeight="1">
      <c r="A330" s="5"/>
      <c r="D330" s="5"/>
    </row>
    <row r="331" ht="15.75" customHeight="1">
      <c r="A331" s="5"/>
      <c r="D331" s="5"/>
    </row>
    <row r="332" ht="15.75" customHeight="1">
      <c r="A332" s="5"/>
      <c r="D332" s="5"/>
    </row>
    <row r="333" ht="15.75" customHeight="1">
      <c r="A333" s="5"/>
      <c r="D333" s="5"/>
    </row>
    <row r="334" ht="15.75" customHeight="1">
      <c r="A334" s="5"/>
      <c r="D334" s="5"/>
    </row>
    <row r="335" ht="15.75" customHeight="1">
      <c r="A335" s="5"/>
      <c r="D335" s="5"/>
    </row>
    <row r="336" ht="15.75" customHeight="1">
      <c r="A336" s="5"/>
      <c r="D336" s="5"/>
    </row>
    <row r="337" ht="15.75" customHeight="1">
      <c r="A337" s="5"/>
      <c r="D337" s="5"/>
    </row>
    <row r="338" ht="15.75" customHeight="1">
      <c r="A338" s="5"/>
      <c r="D338" s="5"/>
    </row>
    <row r="339" ht="15.75" customHeight="1">
      <c r="A339" s="5"/>
      <c r="D339" s="5"/>
    </row>
    <row r="340" ht="15.75" customHeight="1">
      <c r="A340" s="5"/>
      <c r="D340" s="5"/>
    </row>
    <row r="341" ht="15.75" customHeight="1">
      <c r="A341" s="5"/>
      <c r="D341" s="5"/>
    </row>
    <row r="342" ht="15.75" customHeight="1">
      <c r="A342" s="5"/>
      <c r="D342" s="5"/>
    </row>
    <row r="343" ht="15.75" customHeight="1">
      <c r="A343" s="5"/>
      <c r="D343" s="5"/>
    </row>
    <row r="344" ht="15.75" customHeight="1">
      <c r="A344" s="5"/>
      <c r="D344" s="5"/>
    </row>
    <row r="345" ht="15.75" customHeight="1">
      <c r="A345" s="5"/>
      <c r="D345" s="5"/>
    </row>
    <row r="346" ht="15.75" customHeight="1">
      <c r="A346" s="5"/>
      <c r="D346" s="5"/>
    </row>
    <row r="347" ht="15.75" customHeight="1">
      <c r="A347" s="5"/>
      <c r="D347" s="5"/>
    </row>
    <row r="348" ht="15.75" customHeight="1">
      <c r="A348" s="5"/>
      <c r="D348" s="5"/>
    </row>
    <row r="349" ht="15.75" customHeight="1">
      <c r="A349" s="5"/>
      <c r="D349" s="5"/>
    </row>
    <row r="350" ht="15.75" customHeight="1">
      <c r="A350" s="5"/>
      <c r="D350" s="5"/>
    </row>
    <row r="351" ht="15.75" customHeight="1">
      <c r="A351" s="5"/>
      <c r="D351" s="5"/>
    </row>
    <row r="352" ht="15.75" customHeight="1">
      <c r="A352" s="5"/>
      <c r="D352" s="5"/>
    </row>
    <row r="353" ht="15.75" customHeight="1">
      <c r="A353" s="5"/>
      <c r="D353" s="5"/>
    </row>
    <row r="354" ht="15.75" customHeight="1">
      <c r="A354" s="5"/>
      <c r="D354" s="5"/>
    </row>
    <row r="355" ht="15.75" customHeight="1">
      <c r="A355" s="5"/>
      <c r="D355" s="5"/>
    </row>
    <row r="356" ht="15.75" customHeight="1">
      <c r="A356" s="5"/>
      <c r="D356" s="5"/>
    </row>
    <row r="357" ht="15.75" customHeight="1">
      <c r="A357" s="5"/>
      <c r="D357" s="5"/>
    </row>
    <row r="358" ht="15.75" customHeight="1">
      <c r="A358" s="5"/>
      <c r="D358" s="5"/>
    </row>
    <row r="359" ht="15.75" customHeight="1">
      <c r="A359" s="5"/>
      <c r="D359" s="5"/>
    </row>
    <row r="360" ht="15.75" customHeight="1">
      <c r="A360" s="5"/>
      <c r="D360" s="5"/>
    </row>
    <row r="361" ht="15.75" customHeight="1">
      <c r="A361" s="5"/>
      <c r="D361" s="5"/>
    </row>
    <row r="362" ht="15.75" customHeight="1">
      <c r="A362" s="5"/>
      <c r="D362" s="5"/>
    </row>
    <row r="363" ht="15.75" customHeight="1">
      <c r="A363" s="5"/>
      <c r="D363" s="5"/>
    </row>
    <row r="364" ht="15.75" customHeight="1">
      <c r="A364" s="5"/>
      <c r="D364" s="5"/>
    </row>
    <row r="365" ht="15.75" customHeight="1">
      <c r="A365" s="5"/>
      <c r="D365" s="5"/>
    </row>
    <row r="366" ht="15.75" customHeight="1">
      <c r="A366" s="5"/>
      <c r="D366" s="5"/>
    </row>
    <row r="367" ht="15.75" customHeight="1">
      <c r="A367" s="5"/>
      <c r="D367" s="5"/>
    </row>
    <row r="368" ht="15.75" customHeight="1">
      <c r="A368" s="5"/>
      <c r="D368" s="5"/>
    </row>
    <row r="369" ht="15.75" customHeight="1">
      <c r="A369" s="5"/>
      <c r="D369" s="5"/>
    </row>
    <row r="370" ht="15.75" customHeight="1">
      <c r="A370" s="5"/>
      <c r="D370" s="5"/>
    </row>
    <row r="371" ht="15.75" customHeight="1">
      <c r="A371" s="5"/>
      <c r="D371" s="5"/>
    </row>
    <row r="372" ht="15.75" customHeight="1">
      <c r="A372" s="5"/>
      <c r="D372" s="5"/>
    </row>
    <row r="373" ht="15.75" customHeight="1">
      <c r="A373" s="5"/>
      <c r="D373" s="5"/>
    </row>
    <row r="374" ht="15.75" customHeight="1">
      <c r="A374" s="5"/>
      <c r="D374" s="5"/>
    </row>
    <row r="375" ht="15.75" customHeight="1">
      <c r="A375" s="5"/>
      <c r="D375" s="5"/>
    </row>
    <row r="376" ht="15.75" customHeight="1">
      <c r="A376" s="5"/>
      <c r="D376" s="5"/>
    </row>
    <row r="377" ht="15.75" customHeight="1">
      <c r="A377" s="5"/>
      <c r="D377" s="5"/>
    </row>
    <row r="378" ht="15.75" customHeight="1">
      <c r="A378" s="5"/>
      <c r="D378" s="5"/>
    </row>
    <row r="379" ht="15.75" customHeight="1">
      <c r="A379" s="5"/>
      <c r="D379" s="5"/>
    </row>
    <row r="380" ht="15.75" customHeight="1">
      <c r="A380" s="5"/>
      <c r="D380" s="5"/>
    </row>
    <row r="381" ht="15.75" customHeight="1">
      <c r="A381" s="5"/>
      <c r="D381" s="5"/>
    </row>
    <row r="382" ht="15.75" customHeight="1">
      <c r="A382" s="5"/>
      <c r="D382" s="5"/>
    </row>
    <row r="383" ht="15.75" customHeight="1">
      <c r="A383" s="5"/>
      <c r="D383" s="5"/>
    </row>
    <row r="384" ht="15.75" customHeight="1">
      <c r="A384" s="5"/>
      <c r="D384" s="5"/>
    </row>
    <row r="385" ht="15.75" customHeight="1">
      <c r="A385" s="5"/>
      <c r="D385" s="5"/>
    </row>
    <row r="386" ht="15.75" customHeight="1">
      <c r="A386" s="5"/>
      <c r="D386" s="5"/>
    </row>
    <row r="387" ht="15.75" customHeight="1">
      <c r="A387" s="5"/>
      <c r="D387" s="5"/>
    </row>
    <row r="388" ht="15.75" customHeight="1">
      <c r="A388" s="5"/>
      <c r="D388" s="5"/>
    </row>
    <row r="389" ht="15.75" customHeight="1">
      <c r="A389" s="5"/>
      <c r="D389" s="5"/>
    </row>
    <row r="390" ht="15.75" customHeight="1">
      <c r="A390" s="5"/>
      <c r="D390" s="5"/>
    </row>
    <row r="391" ht="15.75" customHeight="1">
      <c r="A391" s="5"/>
      <c r="D391" s="5"/>
    </row>
    <row r="392" ht="15.75" customHeight="1">
      <c r="A392" s="5"/>
      <c r="D392" s="5"/>
    </row>
    <row r="393" ht="15.75" customHeight="1">
      <c r="A393" s="5"/>
      <c r="D393" s="5"/>
    </row>
    <row r="394" ht="15.75" customHeight="1">
      <c r="A394" s="5"/>
      <c r="D394" s="5"/>
    </row>
    <row r="395" ht="15.75" customHeight="1">
      <c r="A395" s="5"/>
      <c r="D395" s="5"/>
    </row>
    <row r="396" ht="15.75" customHeight="1">
      <c r="A396" s="5"/>
      <c r="D396" s="5"/>
    </row>
    <row r="397" ht="15.75" customHeight="1">
      <c r="A397" s="5"/>
      <c r="D397" s="5"/>
    </row>
    <row r="398" ht="15.75" customHeight="1">
      <c r="A398" s="5"/>
      <c r="D398" s="5"/>
    </row>
    <row r="399" ht="15.75" customHeight="1">
      <c r="A399" s="5"/>
      <c r="D399" s="5"/>
    </row>
    <row r="400" ht="15.75" customHeight="1">
      <c r="A400" s="5"/>
      <c r="D400" s="5"/>
    </row>
    <row r="401" ht="15.75" customHeight="1">
      <c r="A401" s="5"/>
      <c r="D401" s="5"/>
    </row>
    <row r="402" ht="15.75" customHeight="1">
      <c r="A402" s="5"/>
      <c r="D402" s="5"/>
    </row>
    <row r="403" ht="15.75" customHeight="1">
      <c r="A403" s="5"/>
      <c r="D403" s="5"/>
    </row>
    <row r="404" ht="15.75" customHeight="1">
      <c r="A404" s="5"/>
      <c r="D404" s="5"/>
    </row>
    <row r="405" ht="15.75" customHeight="1">
      <c r="A405" s="5"/>
      <c r="D405" s="5"/>
    </row>
    <row r="406" ht="15.75" customHeight="1">
      <c r="A406" s="5"/>
      <c r="D406" s="5"/>
    </row>
    <row r="407" ht="15.75" customHeight="1">
      <c r="A407" s="5"/>
      <c r="D407" s="5"/>
    </row>
    <row r="408" ht="15.75" customHeight="1">
      <c r="A408" s="5"/>
      <c r="D408" s="5"/>
    </row>
    <row r="409" ht="15.75" customHeight="1">
      <c r="A409" s="5"/>
      <c r="D409" s="5"/>
    </row>
    <row r="410" ht="15.75" customHeight="1">
      <c r="A410" s="5"/>
      <c r="D410" s="5"/>
    </row>
    <row r="411" ht="15.75" customHeight="1">
      <c r="A411" s="5"/>
      <c r="D411" s="5"/>
    </row>
    <row r="412" ht="15.75" customHeight="1">
      <c r="A412" s="5"/>
      <c r="D412" s="5"/>
    </row>
    <row r="413" ht="15.75" customHeight="1">
      <c r="A413" s="5"/>
      <c r="D413" s="5"/>
    </row>
    <row r="414" ht="15.75" customHeight="1">
      <c r="A414" s="5"/>
      <c r="D414" s="5"/>
    </row>
    <row r="415" ht="15.75" customHeight="1">
      <c r="A415" s="5"/>
      <c r="D415" s="5"/>
    </row>
    <row r="416" ht="15.75" customHeight="1">
      <c r="A416" s="5"/>
      <c r="D416" s="5"/>
    </row>
    <row r="417" ht="15.75" customHeight="1">
      <c r="A417" s="5"/>
      <c r="D417" s="5"/>
    </row>
    <row r="418" ht="15.75" customHeight="1">
      <c r="A418" s="5"/>
      <c r="D418" s="5"/>
    </row>
    <row r="419" ht="15.75" customHeight="1">
      <c r="A419" s="5"/>
      <c r="D419" s="5"/>
    </row>
    <row r="420" ht="15.75" customHeight="1">
      <c r="A420" s="5"/>
      <c r="D420" s="5"/>
    </row>
    <row r="421" ht="15.75" customHeight="1">
      <c r="A421" s="5"/>
      <c r="D421" s="5"/>
    </row>
    <row r="422" ht="15.75" customHeight="1">
      <c r="A422" s="5"/>
      <c r="D422" s="5"/>
    </row>
    <row r="423" ht="15.75" customHeight="1">
      <c r="A423" s="5"/>
      <c r="D423" s="5"/>
    </row>
    <row r="424" ht="15.75" customHeight="1">
      <c r="A424" s="5"/>
      <c r="D424" s="5"/>
    </row>
    <row r="425" ht="15.75" customHeight="1">
      <c r="A425" s="5"/>
      <c r="D425" s="5"/>
    </row>
    <row r="426" ht="15.75" customHeight="1">
      <c r="A426" s="5"/>
      <c r="D426" s="5"/>
    </row>
    <row r="427" ht="15.75" customHeight="1">
      <c r="A427" s="5"/>
      <c r="D427" s="5"/>
    </row>
    <row r="428" ht="15.75" customHeight="1">
      <c r="A428" s="5"/>
      <c r="D428" s="5"/>
    </row>
    <row r="429" ht="15.75" customHeight="1">
      <c r="A429" s="5"/>
      <c r="D429" s="5"/>
    </row>
    <row r="430" ht="15.75" customHeight="1">
      <c r="A430" s="5"/>
      <c r="D430" s="5"/>
    </row>
    <row r="431" ht="15.75" customHeight="1">
      <c r="A431" s="5"/>
      <c r="D431" s="5"/>
    </row>
    <row r="432" ht="15.75" customHeight="1">
      <c r="A432" s="5"/>
      <c r="D432" s="5"/>
    </row>
    <row r="433" ht="15.75" customHeight="1">
      <c r="A433" s="5"/>
      <c r="D433" s="5"/>
    </row>
    <row r="434" ht="15.75" customHeight="1">
      <c r="A434" s="5"/>
      <c r="D434" s="5"/>
    </row>
    <row r="435" ht="15.75" customHeight="1">
      <c r="A435" s="5"/>
      <c r="D435" s="5"/>
    </row>
    <row r="436" ht="15.75" customHeight="1">
      <c r="A436" s="5"/>
      <c r="D436" s="5"/>
    </row>
    <row r="437" ht="15.75" customHeight="1">
      <c r="A437" s="5"/>
      <c r="D437" s="5"/>
    </row>
    <row r="438" ht="15.75" customHeight="1">
      <c r="A438" s="5"/>
      <c r="D438" s="5"/>
    </row>
    <row r="439" ht="15.75" customHeight="1">
      <c r="A439" s="5"/>
      <c r="D439" s="5"/>
    </row>
    <row r="440" ht="15.75" customHeight="1">
      <c r="A440" s="5"/>
      <c r="D440" s="5"/>
    </row>
    <row r="441" ht="15.75" customHeight="1">
      <c r="A441" s="5"/>
      <c r="D441" s="5"/>
    </row>
    <row r="442" ht="15.75" customHeight="1">
      <c r="A442" s="5"/>
      <c r="D442" s="5"/>
    </row>
    <row r="443" ht="15.75" customHeight="1">
      <c r="A443" s="5"/>
      <c r="D443" s="5"/>
    </row>
    <row r="444" ht="15.75" customHeight="1">
      <c r="A444" s="5"/>
      <c r="D444" s="5"/>
    </row>
    <row r="445" ht="15.75" customHeight="1">
      <c r="A445" s="5"/>
      <c r="D445" s="5"/>
    </row>
    <row r="446" ht="15.75" customHeight="1">
      <c r="A446" s="5"/>
      <c r="D446" s="5"/>
    </row>
    <row r="447" ht="15.75" customHeight="1">
      <c r="A447" s="5"/>
      <c r="D447" s="5"/>
    </row>
    <row r="448" ht="15.75" customHeight="1">
      <c r="A448" s="5"/>
      <c r="D448" s="5"/>
    </row>
    <row r="449" ht="15.75" customHeight="1">
      <c r="A449" s="5"/>
      <c r="D449" s="5"/>
    </row>
    <row r="450" ht="15.75" customHeight="1">
      <c r="A450" s="5"/>
      <c r="D450" s="5"/>
    </row>
    <row r="451" ht="15.75" customHeight="1">
      <c r="A451" s="5"/>
      <c r="D451" s="5"/>
    </row>
    <row r="452" ht="15.75" customHeight="1">
      <c r="A452" s="5"/>
      <c r="D452" s="5"/>
    </row>
    <row r="453" ht="15.75" customHeight="1">
      <c r="A453" s="5"/>
      <c r="D453" s="5"/>
    </row>
    <row r="454" ht="15.75" customHeight="1">
      <c r="A454" s="5"/>
      <c r="D454" s="5"/>
    </row>
    <row r="455" ht="15.75" customHeight="1">
      <c r="A455" s="5"/>
      <c r="D455" s="5"/>
    </row>
    <row r="456" ht="15.75" customHeight="1">
      <c r="A456" s="5"/>
      <c r="D456" s="5"/>
    </row>
    <row r="457" ht="15.75" customHeight="1">
      <c r="A457" s="5"/>
      <c r="D457" s="5"/>
    </row>
    <row r="458" ht="15.75" customHeight="1">
      <c r="A458" s="5"/>
      <c r="D458" s="5"/>
    </row>
    <row r="459" ht="15.75" customHeight="1">
      <c r="A459" s="5"/>
      <c r="D459" s="5"/>
    </row>
    <row r="460" ht="15.75" customHeight="1">
      <c r="A460" s="5"/>
      <c r="D460" s="5"/>
    </row>
    <row r="461" ht="15.75" customHeight="1">
      <c r="A461" s="5"/>
      <c r="D461" s="5"/>
    </row>
    <row r="462" ht="15.75" customHeight="1">
      <c r="A462" s="5"/>
      <c r="D462" s="5"/>
    </row>
    <row r="463" ht="15.75" customHeight="1">
      <c r="A463" s="5"/>
      <c r="D463" s="5"/>
    </row>
    <row r="464" ht="15.75" customHeight="1">
      <c r="A464" s="5"/>
      <c r="D464" s="5"/>
    </row>
    <row r="465" ht="15.75" customHeight="1">
      <c r="A465" s="5"/>
      <c r="D465" s="5"/>
    </row>
    <row r="466" ht="15.75" customHeight="1">
      <c r="A466" s="5"/>
      <c r="D466" s="5"/>
    </row>
    <row r="467" ht="15.75" customHeight="1">
      <c r="A467" s="5"/>
      <c r="D467" s="5"/>
    </row>
    <row r="468" ht="15.75" customHeight="1">
      <c r="A468" s="5"/>
      <c r="D468" s="5"/>
    </row>
    <row r="469" ht="15.75" customHeight="1">
      <c r="A469" s="5"/>
      <c r="D469" s="5"/>
    </row>
    <row r="470" ht="15.75" customHeight="1">
      <c r="A470" s="5"/>
      <c r="D470" s="5"/>
    </row>
    <row r="471" ht="15.75" customHeight="1">
      <c r="A471" s="5"/>
      <c r="D471" s="5"/>
    </row>
    <row r="472" ht="15.75" customHeight="1">
      <c r="A472" s="5"/>
      <c r="D472" s="5"/>
    </row>
    <row r="473" ht="15.75" customHeight="1">
      <c r="A473" s="5"/>
      <c r="D473" s="5"/>
    </row>
    <row r="474" ht="15.75" customHeight="1">
      <c r="A474" s="5"/>
      <c r="D474" s="5"/>
    </row>
    <row r="475" ht="15.75" customHeight="1">
      <c r="A475" s="5"/>
      <c r="D475" s="5"/>
    </row>
    <row r="476" ht="15.75" customHeight="1">
      <c r="A476" s="5"/>
      <c r="D476" s="5"/>
    </row>
    <row r="477" ht="15.75" customHeight="1">
      <c r="A477" s="5"/>
      <c r="D477" s="5"/>
    </row>
    <row r="478" ht="15.75" customHeight="1">
      <c r="A478" s="5"/>
      <c r="D478" s="5"/>
    </row>
    <row r="479" ht="15.75" customHeight="1">
      <c r="A479" s="5"/>
      <c r="D479" s="5"/>
    </row>
    <row r="480" ht="15.75" customHeight="1">
      <c r="A480" s="5"/>
      <c r="D480" s="5"/>
    </row>
    <row r="481" ht="15.75" customHeight="1">
      <c r="A481" s="5"/>
      <c r="D481" s="5"/>
    </row>
    <row r="482" ht="15.75" customHeight="1">
      <c r="A482" s="5"/>
      <c r="D482" s="5"/>
    </row>
    <row r="483" ht="15.75" customHeight="1">
      <c r="A483" s="5"/>
      <c r="D483" s="5"/>
    </row>
    <row r="484" ht="15.75" customHeight="1">
      <c r="A484" s="5"/>
      <c r="D484" s="5"/>
    </row>
    <row r="485" ht="15.75" customHeight="1">
      <c r="A485" s="5"/>
      <c r="D485" s="5"/>
    </row>
    <row r="486" ht="15.75" customHeight="1">
      <c r="A486" s="5"/>
      <c r="D486" s="5"/>
    </row>
    <row r="487" ht="15.75" customHeight="1">
      <c r="A487" s="5"/>
      <c r="D487" s="5"/>
    </row>
    <row r="488" ht="15.75" customHeight="1">
      <c r="A488" s="5"/>
      <c r="D488" s="5"/>
    </row>
    <row r="489" ht="15.75" customHeight="1">
      <c r="A489" s="5"/>
      <c r="D489" s="5"/>
    </row>
    <row r="490" ht="15.75" customHeight="1">
      <c r="A490" s="5"/>
      <c r="D490" s="5"/>
    </row>
    <row r="491" ht="15.75" customHeight="1">
      <c r="A491" s="5"/>
      <c r="D491" s="5"/>
    </row>
    <row r="492" ht="15.75" customHeight="1">
      <c r="A492" s="5"/>
      <c r="D492" s="5"/>
    </row>
    <row r="493" ht="15.75" customHeight="1">
      <c r="A493" s="5"/>
      <c r="D493" s="5"/>
    </row>
    <row r="494" ht="15.75" customHeight="1">
      <c r="A494" s="5"/>
      <c r="D494" s="5"/>
    </row>
    <row r="495" ht="15.75" customHeight="1">
      <c r="A495" s="5"/>
      <c r="D495" s="5"/>
    </row>
    <row r="496" ht="15.75" customHeight="1">
      <c r="A496" s="5"/>
      <c r="D496" s="5"/>
    </row>
    <row r="497" ht="15.75" customHeight="1">
      <c r="A497" s="5"/>
      <c r="D497" s="5"/>
    </row>
    <row r="498" ht="15.75" customHeight="1">
      <c r="A498" s="5"/>
      <c r="D498" s="5"/>
    </row>
    <row r="499" ht="15.75" customHeight="1">
      <c r="A499" s="5"/>
      <c r="D499" s="5"/>
    </row>
    <row r="500" ht="15.75" customHeight="1">
      <c r="A500" s="5"/>
      <c r="D500" s="5"/>
    </row>
    <row r="501" ht="15.75" customHeight="1">
      <c r="A501" s="5"/>
      <c r="D501" s="5"/>
    </row>
    <row r="502" ht="15.75" customHeight="1">
      <c r="A502" s="5"/>
      <c r="D502" s="5"/>
    </row>
    <row r="503" ht="15.75" customHeight="1">
      <c r="A503" s="5"/>
      <c r="D503" s="5"/>
    </row>
    <row r="504" ht="15.75" customHeight="1">
      <c r="A504" s="5"/>
      <c r="D504" s="5"/>
    </row>
    <row r="505" ht="15.75" customHeight="1">
      <c r="A505" s="5"/>
      <c r="D505" s="5"/>
    </row>
    <row r="506" ht="15.75" customHeight="1">
      <c r="A506" s="5"/>
      <c r="D506" s="5"/>
    </row>
    <row r="507" ht="15.75" customHeight="1">
      <c r="A507" s="5"/>
      <c r="D507" s="5"/>
    </row>
    <row r="508" ht="15.75" customHeight="1">
      <c r="A508" s="5"/>
      <c r="D508" s="5"/>
    </row>
    <row r="509" ht="15.75" customHeight="1">
      <c r="A509" s="5"/>
      <c r="D509" s="5"/>
    </row>
    <row r="510" ht="15.75" customHeight="1">
      <c r="A510" s="5"/>
      <c r="D510" s="5"/>
    </row>
    <row r="511" ht="15.75" customHeight="1">
      <c r="A511" s="5"/>
      <c r="D511" s="5"/>
    </row>
    <row r="512" ht="15.75" customHeight="1">
      <c r="A512" s="5"/>
      <c r="D512" s="5"/>
    </row>
    <row r="513" ht="15.75" customHeight="1">
      <c r="A513" s="5"/>
      <c r="D513" s="5"/>
    </row>
    <row r="514" ht="15.75" customHeight="1">
      <c r="A514" s="5"/>
      <c r="D514" s="5"/>
    </row>
    <row r="515" ht="15.75" customHeight="1">
      <c r="A515" s="5"/>
      <c r="D515" s="5"/>
    </row>
    <row r="516" ht="15.75" customHeight="1">
      <c r="A516" s="5"/>
      <c r="D516" s="5"/>
    </row>
    <row r="517" ht="15.75" customHeight="1">
      <c r="A517" s="5"/>
      <c r="D517" s="5"/>
    </row>
    <row r="518" ht="15.75" customHeight="1">
      <c r="A518" s="5"/>
      <c r="D518" s="5"/>
    </row>
    <row r="519" ht="15.75" customHeight="1">
      <c r="A519" s="5"/>
      <c r="D519" s="5"/>
    </row>
    <row r="520" ht="15.75" customHeight="1">
      <c r="A520" s="5"/>
      <c r="D520" s="5"/>
    </row>
    <row r="521" ht="15.75" customHeight="1">
      <c r="A521" s="5"/>
      <c r="D521" s="5"/>
    </row>
    <row r="522" ht="15.75" customHeight="1">
      <c r="A522" s="5"/>
      <c r="D522" s="5"/>
    </row>
    <row r="523" ht="15.75" customHeight="1">
      <c r="A523" s="5"/>
      <c r="D523" s="5"/>
    </row>
    <row r="524" ht="15.75" customHeight="1">
      <c r="A524" s="5"/>
      <c r="D524" s="5"/>
    </row>
    <row r="525" ht="15.75" customHeight="1">
      <c r="A525" s="5"/>
      <c r="D525" s="5"/>
    </row>
    <row r="526" ht="15.75" customHeight="1">
      <c r="A526" s="5"/>
      <c r="D526" s="5"/>
    </row>
    <row r="527" ht="15.75" customHeight="1">
      <c r="A527" s="5"/>
      <c r="D527" s="5"/>
    </row>
    <row r="528" ht="15.75" customHeight="1">
      <c r="A528" s="5"/>
      <c r="D528" s="5"/>
    </row>
    <row r="529" ht="15.75" customHeight="1">
      <c r="A529" s="5"/>
      <c r="D529" s="5"/>
    </row>
    <row r="530" ht="15.75" customHeight="1">
      <c r="A530" s="5"/>
      <c r="D530" s="5"/>
    </row>
    <row r="531" ht="15.75" customHeight="1">
      <c r="A531" s="5"/>
      <c r="D531" s="5"/>
    </row>
    <row r="532" ht="15.75" customHeight="1">
      <c r="A532" s="5"/>
      <c r="D532" s="5"/>
    </row>
    <row r="533" ht="15.75" customHeight="1">
      <c r="A533" s="5"/>
      <c r="D533" s="5"/>
    </row>
    <row r="534" ht="15.75" customHeight="1">
      <c r="A534" s="5"/>
      <c r="D534" s="5"/>
    </row>
    <row r="535" ht="15.75" customHeight="1">
      <c r="A535" s="5"/>
      <c r="D535" s="5"/>
    </row>
    <row r="536" ht="15.75" customHeight="1">
      <c r="A536" s="5"/>
      <c r="D536" s="5"/>
    </row>
    <row r="537" ht="15.75" customHeight="1">
      <c r="A537" s="5"/>
      <c r="D537" s="5"/>
    </row>
    <row r="538" ht="15.75" customHeight="1">
      <c r="A538" s="5"/>
      <c r="D538" s="5"/>
    </row>
    <row r="539" ht="15.75" customHeight="1">
      <c r="A539" s="5"/>
      <c r="D539" s="5"/>
    </row>
    <row r="540" ht="15.75" customHeight="1">
      <c r="A540" s="5"/>
      <c r="D540" s="5"/>
    </row>
    <row r="541" ht="15.75" customHeight="1">
      <c r="A541" s="5"/>
      <c r="D541" s="5"/>
    </row>
    <row r="542" ht="15.75" customHeight="1">
      <c r="A542" s="5"/>
      <c r="D542" s="5"/>
    </row>
    <row r="543" ht="15.75" customHeight="1">
      <c r="A543" s="5"/>
      <c r="D543" s="5"/>
    </row>
    <row r="544" ht="15.75" customHeight="1">
      <c r="A544" s="5"/>
      <c r="D544" s="5"/>
    </row>
    <row r="545" ht="15.75" customHeight="1">
      <c r="A545" s="5"/>
      <c r="D545" s="5"/>
    </row>
    <row r="546" ht="15.75" customHeight="1">
      <c r="A546" s="5"/>
      <c r="D546" s="5"/>
    </row>
    <row r="547" ht="15.75" customHeight="1">
      <c r="A547" s="5"/>
      <c r="D547" s="5"/>
    </row>
    <row r="548" ht="15.75" customHeight="1">
      <c r="A548" s="5"/>
      <c r="D548" s="5"/>
    </row>
    <row r="549" ht="15.75" customHeight="1">
      <c r="A549" s="5"/>
      <c r="D549" s="5"/>
    </row>
    <row r="550" ht="15.75" customHeight="1">
      <c r="A550" s="5"/>
      <c r="D550" s="5"/>
    </row>
    <row r="551" ht="15.75" customHeight="1">
      <c r="A551" s="5"/>
      <c r="D551" s="5"/>
    </row>
    <row r="552" ht="15.75" customHeight="1">
      <c r="A552" s="5"/>
      <c r="D552" s="5"/>
    </row>
    <row r="553" ht="15.75" customHeight="1">
      <c r="A553" s="5"/>
      <c r="D553" s="5"/>
    </row>
    <row r="554" ht="15.75" customHeight="1">
      <c r="A554" s="5"/>
      <c r="D554" s="5"/>
    </row>
    <row r="555" ht="15.75" customHeight="1">
      <c r="A555" s="5"/>
      <c r="D555" s="5"/>
    </row>
    <row r="556" ht="15.75" customHeight="1">
      <c r="A556" s="5"/>
      <c r="D556" s="5"/>
    </row>
    <row r="557" ht="15.75" customHeight="1">
      <c r="A557" s="5"/>
      <c r="D557" s="5"/>
    </row>
    <row r="558" ht="15.75" customHeight="1">
      <c r="A558" s="5"/>
      <c r="D558" s="5"/>
    </row>
    <row r="559" ht="15.75" customHeight="1">
      <c r="A559" s="5"/>
      <c r="D559" s="5"/>
    </row>
    <row r="560" ht="15.75" customHeight="1">
      <c r="A560" s="5"/>
      <c r="D560" s="5"/>
    </row>
    <row r="561" ht="15.75" customHeight="1">
      <c r="A561" s="5"/>
      <c r="D561" s="5"/>
    </row>
    <row r="562" ht="15.75" customHeight="1">
      <c r="A562" s="5"/>
      <c r="D562" s="5"/>
    </row>
    <row r="563" ht="15.75" customHeight="1">
      <c r="A563" s="5"/>
      <c r="D563" s="5"/>
    </row>
    <row r="564" ht="15.75" customHeight="1">
      <c r="A564" s="5"/>
      <c r="D564" s="5"/>
    </row>
    <row r="565" ht="15.75" customHeight="1">
      <c r="A565" s="5"/>
      <c r="D565" s="5"/>
    </row>
    <row r="566" ht="15.75" customHeight="1">
      <c r="A566" s="5"/>
      <c r="D566" s="5"/>
    </row>
    <row r="567" ht="15.75" customHeight="1">
      <c r="A567" s="5"/>
      <c r="D567" s="5"/>
    </row>
    <row r="568" ht="15.75" customHeight="1">
      <c r="A568" s="5"/>
      <c r="D568" s="5"/>
    </row>
    <row r="569" ht="15.75" customHeight="1">
      <c r="A569" s="5"/>
      <c r="D569" s="5"/>
    </row>
    <row r="570" ht="15.75" customHeight="1">
      <c r="A570" s="5"/>
      <c r="D570" s="5"/>
    </row>
    <row r="571" ht="15.75" customHeight="1">
      <c r="A571" s="5"/>
      <c r="D571" s="5"/>
    </row>
    <row r="572" ht="15.75" customHeight="1">
      <c r="A572" s="5"/>
      <c r="D572" s="5"/>
    </row>
    <row r="573" ht="15.75" customHeight="1">
      <c r="A573" s="5"/>
      <c r="D573" s="5"/>
    </row>
    <row r="574" ht="15.75" customHeight="1">
      <c r="A574" s="5"/>
      <c r="D574" s="5"/>
    </row>
    <row r="575" ht="15.75" customHeight="1">
      <c r="A575" s="5"/>
      <c r="D575" s="5"/>
    </row>
    <row r="576" ht="15.75" customHeight="1">
      <c r="A576" s="5"/>
      <c r="D576" s="5"/>
    </row>
    <row r="577" ht="15.75" customHeight="1">
      <c r="A577" s="5"/>
      <c r="D577" s="5"/>
    </row>
    <row r="578" ht="15.75" customHeight="1">
      <c r="A578" s="5"/>
      <c r="D578" s="5"/>
    </row>
    <row r="579" ht="15.75" customHeight="1">
      <c r="A579" s="5"/>
      <c r="D579" s="5"/>
    </row>
    <row r="580" ht="15.75" customHeight="1">
      <c r="A580" s="5"/>
      <c r="D580" s="5"/>
    </row>
    <row r="581" ht="15.75" customHeight="1">
      <c r="A581" s="5"/>
      <c r="D581" s="5"/>
    </row>
    <row r="582" ht="15.75" customHeight="1">
      <c r="A582" s="5"/>
      <c r="D582" s="5"/>
    </row>
    <row r="583" ht="15.75" customHeight="1">
      <c r="A583" s="5"/>
      <c r="D583" s="5"/>
    </row>
    <row r="584" ht="15.75" customHeight="1">
      <c r="A584" s="5"/>
      <c r="D584" s="5"/>
    </row>
    <row r="585" ht="15.75" customHeight="1">
      <c r="A585" s="5"/>
      <c r="D585" s="5"/>
    </row>
    <row r="586" ht="15.75" customHeight="1">
      <c r="A586" s="5"/>
      <c r="D586" s="5"/>
    </row>
    <row r="587" ht="15.75" customHeight="1">
      <c r="A587" s="5"/>
      <c r="D587" s="5"/>
    </row>
    <row r="588" ht="15.75" customHeight="1">
      <c r="A588" s="5"/>
      <c r="D588" s="5"/>
    </row>
    <row r="589" ht="15.75" customHeight="1">
      <c r="A589" s="5"/>
      <c r="D589" s="5"/>
    </row>
    <row r="590" ht="15.75" customHeight="1">
      <c r="A590" s="5"/>
      <c r="D590" s="5"/>
    </row>
    <row r="591" ht="15.75" customHeight="1">
      <c r="A591" s="5"/>
      <c r="D591" s="5"/>
    </row>
    <row r="592" ht="15.75" customHeight="1">
      <c r="A592" s="5"/>
      <c r="D592" s="5"/>
    </row>
    <row r="593" ht="15.75" customHeight="1">
      <c r="A593" s="5"/>
      <c r="D593" s="5"/>
    </row>
    <row r="594" ht="15.75" customHeight="1">
      <c r="A594" s="5"/>
      <c r="D594" s="5"/>
    </row>
    <row r="595" ht="15.75" customHeight="1">
      <c r="A595" s="5"/>
      <c r="D595" s="5"/>
    </row>
    <row r="596" ht="15.75" customHeight="1">
      <c r="A596" s="5"/>
      <c r="D596" s="5"/>
    </row>
    <row r="597" ht="15.75" customHeight="1">
      <c r="A597" s="5"/>
      <c r="D597" s="5"/>
    </row>
    <row r="598" ht="15.75" customHeight="1">
      <c r="A598" s="5"/>
      <c r="D598" s="5"/>
    </row>
    <row r="599" ht="15.75" customHeight="1">
      <c r="A599" s="5"/>
      <c r="D599" s="5"/>
    </row>
    <row r="600" ht="15.75" customHeight="1">
      <c r="A600" s="5"/>
      <c r="D600" s="5"/>
    </row>
    <row r="601" ht="15.75" customHeight="1">
      <c r="A601" s="5"/>
      <c r="D601" s="5"/>
    </row>
    <row r="602" ht="15.75" customHeight="1">
      <c r="A602" s="5"/>
      <c r="D602" s="5"/>
    </row>
    <row r="603" ht="15.75" customHeight="1">
      <c r="A603" s="5"/>
      <c r="D603" s="5"/>
    </row>
    <row r="604" ht="15.75" customHeight="1">
      <c r="A604" s="5"/>
      <c r="D604" s="5"/>
    </row>
    <row r="605" ht="15.75" customHeight="1">
      <c r="A605" s="5"/>
      <c r="D605" s="5"/>
    </row>
    <row r="606" ht="15.75" customHeight="1">
      <c r="A606" s="5"/>
      <c r="D606" s="5"/>
    </row>
    <row r="607" ht="15.75" customHeight="1">
      <c r="A607" s="5"/>
      <c r="D607" s="5"/>
    </row>
    <row r="608" ht="15.75" customHeight="1">
      <c r="A608" s="5"/>
      <c r="D608" s="5"/>
    </row>
    <row r="609" ht="15.75" customHeight="1">
      <c r="A609" s="5"/>
      <c r="D609" s="5"/>
    </row>
    <row r="610" ht="15.75" customHeight="1">
      <c r="A610" s="5"/>
      <c r="D610" s="5"/>
    </row>
    <row r="611" ht="15.75" customHeight="1">
      <c r="A611" s="5"/>
      <c r="D611" s="5"/>
    </row>
    <row r="612" ht="15.75" customHeight="1">
      <c r="A612" s="5"/>
      <c r="D612" s="5"/>
    </row>
    <row r="613" ht="15.75" customHeight="1">
      <c r="A613" s="5"/>
      <c r="D613" s="5"/>
    </row>
    <row r="614" ht="15.75" customHeight="1">
      <c r="A614" s="5"/>
      <c r="D614" s="5"/>
    </row>
    <row r="615" ht="15.75" customHeight="1">
      <c r="A615" s="5"/>
      <c r="D615" s="5"/>
    </row>
    <row r="616" ht="15.75" customHeight="1">
      <c r="A616" s="5"/>
      <c r="D616" s="5"/>
    </row>
    <row r="617" ht="15.75" customHeight="1">
      <c r="A617" s="5"/>
      <c r="D617" s="5"/>
    </row>
    <row r="618" ht="15.75" customHeight="1">
      <c r="A618" s="5"/>
      <c r="D618" s="5"/>
    </row>
    <row r="619" ht="15.75" customHeight="1">
      <c r="A619" s="5"/>
      <c r="D619" s="5"/>
    </row>
    <row r="620" ht="15.75" customHeight="1">
      <c r="A620" s="5"/>
      <c r="D620" s="5"/>
    </row>
    <row r="621" ht="15.75" customHeight="1">
      <c r="A621" s="5"/>
      <c r="D621" s="5"/>
    </row>
    <row r="622" ht="15.75" customHeight="1">
      <c r="A622" s="5"/>
      <c r="D622" s="5"/>
    </row>
    <row r="623" ht="15.75" customHeight="1">
      <c r="A623" s="5"/>
      <c r="D623" s="5"/>
    </row>
    <row r="624" ht="15.75" customHeight="1">
      <c r="A624" s="5"/>
      <c r="D624" s="5"/>
    </row>
    <row r="625" ht="15.75" customHeight="1">
      <c r="A625" s="5"/>
      <c r="D625" s="5"/>
    </row>
    <row r="626" ht="15.75" customHeight="1">
      <c r="A626" s="5"/>
      <c r="D626" s="5"/>
    </row>
    <row r="627" ht="15.75" customHeight="1">
      <c r="A627" s="5"/>
      <c r="D627" s="5"/>
    </row>
    <row r="628" ht="15.75" customHeight="1">
      <c r="A628" s="5"/>
      <c r="D628" s="5"/>
    </row>
    <row r="629" ht="15.75" customHeight="1">
      <c r="A629" s="5"/>
      <c r="D629" s="5"/>
    </row>
    <row r="630" ht="15.75" customHeight="1">
      <c r="A630" s="5"/>
      <c r="D630" s="5"/>
    </row>
    <row r="631" ht="15.75" customHeight="1">
      <c r="A631" s="5"/>
      <c r="D631" s="5"/>
    </row>
    <row r="632" ht="15.75" customHeight="1">
      <c r="A632" s="5"/>
      <c r="D632" s="5"/>
    </row>
    <row r="633" ht="15.75" customHeight="1">
      <c r="A633" s="5"/>
      <c r="D633" s="5"/>
    </row>
    <row r="634" ht="15.75" customHeight="1">
      <c r="A634" s="5"/>
      <c r="D634" s="5"/>
    </row>
    <row r="635" ht="15.75" customHeight="1">
      <c r="A635" s="5"/>
      <c r="D635" s="5"/>
    </row>
    <row r="636" ht="15.75" customHeight="1">
      <c r="A636" s="5"/>
      <c r="D636" s="5"/>
    </row>
    <row r="637" ht="15.75" customHeight="1">
      <c r="A637" s="5"/>
      <c r="D637" s="5"/>
    </row>
    <row r="638" ht="15.75" customHeight="1">
      <c r="A638" s="5"/>
      <c r="D638" s="5"/>
    </row>
    <row r="639" ht="15.75" customHeight="1">
      <c r="A639" s="5"/>
      <c r="D639" s="5"/>
    </row>
    <row r="640" ht="15.75" customHeight="1">
      <c r="A640" s="5"/>
      <c r="D640" s="5"/>
    </row>
    <row r="641" ht="15.75" customHeight="1">
      <c r="A641" s="5"/>
      <c r="D641" s="5"/>
    </row>
    <row r="642" ht="15.75" customHeight="1">
      <c r="A642" s="5"/>
      <c r="D642" s="5"/>
    </row>
    <row r="643" ht="15.75" customHeight="1">
      <c r="A643" s="5"/>
      <c r="D643" s="5"/>
    </row>
    <row r="644" ht="15.75" customHeight="1">
      <c r="A644" s="5"/>
      <c r="D644" s="5"/>
    </row>
    <row r="645" ht="15.75" customHeight="1">
      <c r="A645" s="5"/>
      <c r="D645" s="5"/>
    </row>
    <row r="646" ht="15.75" customHeight="1">
      <c r="A646" s="5"/>
      <c r="D646" s="5"/>
    </row>
    <row r="647" ht="15.75" customHeight="1">
      <c r="A647" s="5"/>
      <c r="D647" s="5"/>
    </row>
    <row r="648" ht="15.75" customHeight="1">
      <c r="A648" s="5"/>
      <c r="D648" s="5"/>
    </row>
    <row r="649" ht="15.75" customHeight="1">
      <c r="A649" s="5"/>
      <c r="D649" s="5"/>
    </row>
    <row r="650" ht="15.75" customHeight="1">
      <c r="A650" s="5"/>
      <c r="D650" s="5"/>
    </row>
    <row r="651" ht="15.75" customHeight="1">
      <c r="A651" s="5"/>
      <c r="D651" s="5"/>
    </row>
    <row r="652" ht="15.75" customHeight="1">
      <c r="A652" s="5"/>
      <c r="D652" s="5"/>
    </row>
    <row r="653" ht="15.75" customHeight="1">
      <c r="A653" s="5"/>
      <c r="D653" s="5"/>
    </row>
    <row r="654" ht="15.75" customHeight="1">
      <c r="A654" s="5"/>
      <c r="D654" s="5"/>
    </row>
    <row r="655" ht="15.75" customHeight="1">
      <c r="A655" s="5"/>
      <c r="D655" s="5"/>
    </row>
    <row r="656" ht="15.75" customHeight="1">
      <c r="A656" s="5"/>
      <c r="D656" s="5"/>
    </row>
    <row r="657" ht="15.75" customHeight="1">
      <c r="A657" s="5"/>
      <c r="D657" s="5"/>
    </row>
    <row r="658" ht="15.75" customHeight="1">
      <c r="A658" s="5"/>
      <c r="D658" s="5"/>
    </row>
    <row r="659" ht="15.75" customHeight="1">
      <c r="A659" s="5"/>
      <c r="D659" s="5"/>
    </row>
    <row r="660" ht="15.75" customHeight="1">
      <c r="A660" s="5"/>
      <c r="D660" s="5"/>
    </row>
    <row r="661" ht="15.75" customHeight="1">
      <c r="A661" s="5"/>
      <c r="D661" s="5"/>
    </row>
    <row r="662" ht="15.75" customHeight="1">
      <c r="A662" s="5"/>
      <c r="D662" s="5"/>
    </row>
    <row r="663" ht="15.75" customHeight="1">
      <c r="A663" s="5"/>
      <c r="D663" s="5"/>
    </row>
    <row r="664" ht="15.75" customHeight="1">
      <c r="A664" s="5"/>
      <c r="D664" s="5"/>
    </row>
    <row r="665" ht="15.75" customHeight="1">
      <c r="A665" s="5"/>
      <c r="D665" s="5"/>
    </row>
    <row r="666" ht="15.75" customHeight="1">
      <c r="A666" s="5"/>
      <c r="D666" s="5"/>
    </row>
    <row r="667" ht="15.75" customHeight="1">
      <c r="A667" s="5"/>
      <c r="D667" s="5"/>
    </row>
    <row r="668" ht="15.75" customHeight="1">
      <c r="A668" s="5"/>
      <c r="D668" s="5"/>
    </row>
    <row r="669" ht="15.75" customHeight="1">
      <c r="A669" s="5"/>
      <c r="D669" s="5"/>
    </row>
    <row r="670" ht="15.75" customHeight="1">
      <c r="A670" s="5"/>
      <c r="D670" s="5"/>
    </row>
    <row r="671" ht="15.75" customHeight="1">
      <c r="A671" s="5"/>
      <c r="D671" s="5"/>
    </row>
    <row r="672" ht="15.75" customHeight="1">
      <c r="A672" s="5"/>
      <c r="D672" s="5"/>
    </row>
    <row r="673" ht="15.75" customHeight="1">
      <c r="A673" s="5"/>
      <c r="D673" s="5"/>
    </row>
    <row r="674" ht="15.75" customHeight="1">
      <c r="A674" s="5"/>
      <c r="D674" s="5"/>
    </row>
    <row r="675" ht="15.75" customHeight="1">
      <c r="A675" s="5"/>
      <c r="D675" s="5"/>
    </row>
    <row r="676" ht="15.75" customHeight="1">
      <c r="A676" s="5"/>
      <c r="D676" s="5"/>
    </row>
    <row r="677" ht="15.75" customHeight="1">
      <c r="A677" s="5"/>
      <c r="D677" s="5"/>
    </row>
    <row r="678" ht="15.75" customHeight="1">
      <c r="A678" s="5"/>
      <c r="D678" s="5"/>
    </row>
    <row r="679" ht="15.75" customHeight="1">
      <c r="A679" s="5"/>
      <c r="D679" s="5"/>
    </row>
    <row r="680" ht="15.75" customHeight="1">
      <c r="A680" s="5"/>
      <c r="D680" s="5"/>
    </row>
    <row r="681" ht="15.75" customHeight="1">
      <c r="A681" s="5"/>
      <c r="D681" s="5"/>
    </row>
    <row r="682" ht="15.75" customHeight="1">
      <c r="A682" s="5"/>
      <c r="D682" s="5"/>
    </row>
    <row r="683" ht="15.75" customHeight="1">
      <c r="A683" s="5"/>
      <c r="D683" s="5"/>
    </row>
    <row r="684" ht="15.75" customHeight="1">
      <c r="A684" s="5"/>
      <c r="D684" s="5"/>
    </row>
    <row r="685" ht="15.75" customHeight="1">
      <c r="A685" s="5"/>
      <c r="D685" s="5"/>
    </row>
    <row r="686" ht="15.75" customHeight="1">
      <c r="A686" s="5"/>
      <c r="D686" s="5"/>
    </row>
    <row r="687" ht="15.75" customHeight="1">
      <c r="A687" s="5"/>
      <c r="D687" s="5"/>
    </row>
    <row r="688" ht="15.75" customHeight="1">
      <c r="A688" s="5"/>
      <c r="D688" s="5"/>
    </row>
    <row r="689" ht="15.75" customHeight="1">
      <c r="A689" s="5"/>
      <c r="D689" s="5"/>
    </row>
    <row r="690" ht="15.75" customHeight="1">
      <c r="A690" s="5"/>
      <c r="D690" s="5"/>
    </row>
    <row r="691" ht="15.75" customHeight="1">
      <c r="A691" s="5"/>
      <c r="D691" s="5"/>
    </row>
    <row r="692" ht="15.75" customHeight="1">
      <c r="A692" s="5"/>
      <c r="D692" s="5"/>
    </row>
    <row r="693" ht="15.75" customHeight="1">
      <c r="A693" s="5"/>
      <c r="D693" s="5"/>
    </row>
    <row r="694" ht="15.75" customHeight="1">
      <c r="A694" s="5"/>
      <c r="D694" s="5"/>
    </row>
    <row r="695" ht="15.75" customHeight="1">
      <c r="A695" s="5"/>
      <c r="D695" s="5"/>
    </row>
    <row r="696" ht="15.75" customHeight="1">
      <c r="A696" s="5"/>
      <c r="D696" s="5"/>
    </row>
    <row r="697" ht="15.75" customHeight="1">
      <c r="A697" s="5"/>
      <c r="D697" s="5"/>
    </row>
    <row r="698" ht="15.75" customHeight="1">
      <c r="A698" s="5"/>
      <c r="D698" s="5"/>
    </row>
    <row r="699" ht="15.75" customHeight="1">
      <c r="A699" s="5"/>
      <c r="D699" s="5"/>
    </row>
    <row r="700" ht="15.75" customHeight="1">
      <c r="A700" s="5"/>
      <c r="D700" s="5"/>
    </row>
    <row r="701" ht="15.75" customHeight="1">
      <c r="A701" s="5"/>
      <c r="D701" s="5"/>
    </row>
    <row r="702" ht="15.75" customHeight="1">
      <c r="A702" s="5"/>
      <c r="D702" s="5"/>
    </row>
    <row r="703" ht="15.75" customHeight="1">
      <c r="A703" s="5"/>
      <c r="D703" s="5"/>
    </row>
    <row r="704" ht="15.75" customHeight="1">
      <c r="A704" s="5"/>
      <c r="D704" s="5"/>
    </row>
    <row r="705" ht="15.75" customHeight="1">
      <c r="A705" s="5"/>
      <c r="D705" s="5"/>
    </row>
    <row r="706" ht="15.75" customHeight="1">
      <c r="A706" s="5"/>
      <c r="D706" s="5"/>
    </row>
    <row r="707" ht="15.75" customHeight="1">
      <c r="A707" s="5"/>
      <c r="D707" s="5"/>
    </row>
    <row r="708" ht="15.75" customHeight="1">
      <c r="A708" s="5"/>
      <c r="D708" s="5"/>
    </row>
    <row r="709" ht="15.75" customHeight="1">
      <c r="A709" s="5"/>
      <c r="D709" s="5"/>
    </row>
    <row r="710" ht="15.75" customHeight="1">
      <c r="A710" s="5"/>
      <c r="D710" s="5"/>
    </row>
    <row r="711" ht="15.75" customHeight="1">
      <c r="A711" s="5"/>
      <c r="D711" s="5"/>
    </row>
    <row r="712" ht="15.75" customHeight="1">
      <c r="A712" s="5"/>
      <c r="D712" s="5"/>
    </row>
    <row r="713" ht="15.75" customHeight="1">
      <c r="A713" s="5"/>
      <c r="D713" s="5"/>
    </row>
    <row r="714" ht="15.75" customHeight="1">
      <c r="A714" s="5"/>
      <c r="D714" s="5"/>
    </row>
    <row r="715" ht="15.75" customHeight="1">
      <c r="A715" s="5"/>
      <c r="D715" s="5"/>
    </row>
    <row r="716" ht="15.75" customHeight="1">
      <c r="A716" s="5"/>
      <c r="D716" s="5"/>
    </row>
    <row r="717" ht="15.75" customHeight="1">
      <c r="A717" s="5"/>
      <c r="D717" s="5"/>
    </row>
    <row r="718" ht="15.75" customHeight="1">
      <c r="A718" s="5"/>
      <c r="D718" s="5"/>
    </row>
    <row r="719" ht="15.75" customHeight="1">
      <c r="A719" s="5"/>
      <c r="D719" s="5"/>
    </row>
    <row r="720" ht="15.75" customHeight="1">
      <c r="A720" s="5"/>
      <c r="D720" s="5"/>
    </row>
    <row r="721" ht="15.75" customHeight="1">
      <c r="A721" s="5"/>
      <c r="D721" s="5"/>
    </row>
    <row r="722" ht="15.75" customHeight="1">
      <c r="A722" s="5"/>
      <c r="D722" s="5"/>
    </row>
    <row r="723" ht="15.75" customHeight="1">
      <c r="A723" s="5"/>
      <c r="D723" s="5"/>
    </row>
    <row r="724" ht="15.75" customHeight="1">
      <c r="A724" s="5"/>
      <c r="D724" s="5"/>
    </row>
    <row r="725" ht="15.75" customHeight="1">
      <c r="A725" s="5"/>
      <c r="D725" s="5"/>
    </row>
    <row r="726" ht="15.75" customHeight="1">
      <c r="A726" s="5"/>
      <c r="D726" s="5"/>
    </row>
    <row r="727" ht="15.75" customHeight="1">
      <c r="A727" s="5"/>
      <c r="D727" s="5"/>
    </row>
    <row r="728" ht="15.75" customHeight="1">
      <c r="A728" s="5"/>
      <c r="D728" s="5"/>
    </row>
    <row r="729" ht="15.75" customHeight="1">
      <c r="A729" s="5"/>
      <c r="D729" s="5"/>
    </row>
    <row r="730" ht="15.75" customHeight="1">
      <c r="A730" s="5"/>
      <c r="D730" s="5"/>
    </row>
    <row r="731" ht="15.75" customHeight="1">
      <c r="A731" s="5"/>
      <c r="D731" s="5"/>
    </row>
    <row r="732" ht="15.75" customHeight="1">
      <c r="A732" s="5"/>
      <c r="D732" s="5"/>
    </row>
    <row r="733" ht="15.75" customHeight="1">
      <c r="A733" s="5"/>
      <c r="D733" s="5"/>
    </row>
    <row r="734" ht="15.75" customHeight="1">
      <c r="A734" s="5"/>
      <c r="D734" s="5"/>
    </row>
    <row r="735" ht="15.75" customHeight="1">
      <c r="A735" s="5"/>
      <c r="D735" s="5"/>
    </row>
    <row r="736" ht="15.75" customHeight="1">
      <c r="A736" s="5"/>
      <c r="D736" s="5"/>
    </row>
    <row r="737" ht="15.75" customHeight="1">
      <c r="A737" s="5"/>
      <c r="D737" s="5"/>
    </row>
    <row r="738" ht="15.75" customHeight="1">
      <c r="A738" s="5"/>
      <c r="D738" s="5"/>
    </row>
    <row r="739" ht="15.75" customHeight="1">
      <c r="A739" s="5"/>
      <c r="D739" s="5"/>
    </row>
    <row r="740" ht="15.75" customHeight="1">
      <c r="A740" s="5"/>
      <c r="D740" s="5"/>
    </row>
    <row r="741" ht="15.75" customHeight="1">
      <c r="A741" s="5"/>
      <c r="D741" s="5"/>
    </row>
    <row r="742" ht="15.75" customHeight="1">
      <c r="A742" s="5"/>
      <c r="D742" s="5"/>
    </row>
    <row r="743" ht="15.75" customHeight="1">
      <c r="A743" s="5"/>
      <c r="D743" s="5"/>
    </row>
    <row r="744" ht="15.75" customHeight="1">
      <c r="A744" s="5"/>
      <c r="D744" s="5"/>
    </row>
    <row r="745" ht="15.75" customHeight="1">
      <c r="A745" s="5"/>
      <c r="D745" s="5"/>
    </row>
    <row r="746" ht="15.75" customHeight="1">
      <c r="A746" s="5"/>
      <c r="D746" s="5"/>
    </row>
    <row r="747" ht="15.75" customHeight="1">
      <c r="A747" s="5"/>
      <c r="D747" s="5"/>
    </row>
    <row r="748" ht="15.75" customHeight="1">
      <c r="A748" s="5"/>
      <c r="D748" s="5"/>
    </row>
    <row r="749" ht="15.75" customHeight="1">
      <c r="A749" s="5"/>
      <c r="D749" s="5"/>
    </row>
    <row r="750" ht="15.75" customHeight="1">
      <c r="A750" s="5"/>
      <c r="D750" s="5"/>
    </row>
    <row r="751" ht="15.75" customHeight="1">
      <c r="A751" s="5"/>
      <c r="D751" s="5"/>
    </row>
    <row r="752" ht="15.75" customHeight="1">
      <c r="A752" s="5"/>
      <c r="D752" s="5"/>
    </row>
    <row r="753" ht="15.75" customHeight="1">
      <c r="A753" s="5"/>
      <c r="D753" s="5"/>
    </row>
    <row r="754" ht="15.75" customHeight="1">
      <c r="A754" s="5"/>
      <c r="D754" s="5"/>
    </row>
    <row r="755" ht="15.75" customHeight="1">
      <c r="A755" s="5"/>
      <c r="D755" s="5"/>
    </row>
    <row r="756" ht="15.75" customHeight="1">
      <c r="A756" s="5"/>
      <c r="D756" s="5"/>
    </row>
    <row r="757" ht="15.75" customHeight="1">
      <c r="A757" s="5"/>
      <c r="D757" s="5"/>
    </row>
    <row r="758" ht="15.75" customHeight="1">
      <c r="A758" s="5"/>
      <c r="D758" s="5"/>
    </row>
    <row r="759" ht="15.75" customHeight="1">
      <c r="A759" s="5"/>
      <c r="D759" s="5"/>
    </row>
    <row r="760" ht="15.75" customHeight="1">
      <c r="A760" s="5"/>
      <c r="D760" s="5"/>
    </row>
    <row r="761" ht="15.75" customHeight="1">
      <c r="A761" s="5"/>
      <c r="D761" s="5"/>
    </row>
    <row r="762" ht="15.75" customHeight="1">
      <c r="A762" s="5"/>
      <c r="D762" s="5"/>
    </row>
    <row r="763" ht="15.75" customHeight="1">
      <c r="A763" s="5"/>
      <c r="D763" s="5"/>
    </row>
    <row r="764" ht="15.75" customHeight="1">
      <c r="A764" s="5"/>
      <c r="D764" s="5"/>
    </row>
    <row r="765" ht="15.75" customHeight="1">
      <c r="A765" s="5"/>
      <c r="D765" s="5"/>
    </row>
    <row r="766" ht="15.75" customHeight="1">
      <c r="A766" s="5"/>
      <c r="D766" s="5"/>
    </row>
    <row r="767" ht="15.75" customHeight="1">
      <c r="A767" s="5"/>
      <c r="D767" s="5"/>
    </row>
    <row r="768" ht="15.75" customHeight="1">
      <c r="A768" s="5"/>
      <c r="D768" s="5"/>
    </row>
    <row r="769" ht="15.75" customHeight="1">
      <c r="A769" s="5"/>
      <c r="D769" s="5"/>
    </row>
    <row r="770" ht="15.75" customHeight="1">
      <c r="A770" s="5"/>
      <c r="D770" s="5"/>
    </row>
    <row r="771" ht="15.75" customHeight="1">
      <c r="A771" s="5"/>
      <c r="D771" s="5"/>
    </row>
    <row r="772" ht="15.75" customHeight="1">
      <c r="A772" s="5"/>
      <c r="D772" s="5"/>
    </row>
    <row r="773" ht="15.75" customHeight="1">
      <c r="A773" s="5"/>
      <c r="D773" s="5"/>
    </row>
    <row r="774" ht="15.75" customHeight="1">
      <c r="A774" s="5"/>
      <c r="D774" s="5"/>
    </row>
    <row r="775" ht="15.75" customHeight="1">
      <c r="A775" s="5"/>
      <c r="D775" s="5"/>
    </row>
    <row r="776" ht="15.75" customHeight="1">
      <c r="A776" s="5"/>
      <c r="D776" s="5"/>
    </row>
    <row r="777" ht="15.75" customHeight="1">
      <c r="A777" s="5"/>
      <c r="D777" s="5"/>
    </row>
    <row r="778" ht="15.75" customHeight="1">
      <c r="A778" s="5"/>
      <c r="D778" s="5"/>
    </row>
    <row r="779" ht="15.75" customHeight="1">
      <c r="A779" s="5"/>
      <c r="D779" s="5"/>
    </row>
    <row r="780" ht="15.75" customHeight="1">
      <c r="A780" s="5"/>
      <c r="D780" s="5"/>
    </row>
    <row r="781" ht="15.75" customHeight="1">
      <c r="A781" s="5"/>
      <c r="D781" s="5"/>
    </row>
    <row r="782" ht="15.75" customHeight="1">
      <c r="A782" s="5"/>
      <c r="D782" s="5"/>
    </row>
    <row r="783" ht="15.75" customHeight="1">
      <c r="A783" s="5"/>
      <c r="D783" s="5"/>
    </row>
    <row r="784" ht="15.75" customHeight="1">
      <c r="A784" s="5"/>
      <c r="D784" s="5"/>
    </row>
    <row r="785" ht="15.75" customHeight="1">
      <c r="A785" s="5"/>
      <c r="D785" s="5"/>
    </row>
    <row r="786" ht="15.75" customHeight="1">
      <c r="A786" s="5"/>
      <c r="D786" s="5"/>
    </row>
    <row r="787" ht="15.75" customHeight="1">
      <c r="A787" s="5"/>
      <c r="D787" s="5"/>
    </row>
    <row r="788" ht="15.75" customHeight="1">
      <c r="A788" s="5"/>
      <c r="D788" s="5"/>
    </row>
    <row r="789" ht="15.75" customHeight="1">
      <c r="A789" s="5"/>
      <c r="D789" s="5"/>
    </row>
    <row r="790" ht="15.75" customHeight="1">
      <c r="A790" s="5"/>
      <c r="D790" s="5"/>
    </row>
    <row r="791" ht="15.75" customHeight="1">
      <c r="A791" s="5"/>
      <c r="D791" s="5"/>
    </row>
    <row r="792" ht="15.75" customHeight="1">
      <c r="A792" s="5"/>
      <c r="D792" s="5"/>
    </row>
    <row r="793" ht="15.75" customHeight="1">
      <c r="A793" s="5"/>
      <c r="D793" s="5"/>
    </row>
    <row r="794" ht="15.75" customHeight="1">
      <c r="A794" s="5"/>
      <c r="D794" s="5"/>
    </row>
    <row r="795" ht="15.75" customHeight="1">
      <c r="A795" s="5"/>
      <c r="D795" s="5"/>
    </row>
    <row r="796" ht="15.75" customHeight="1">
      <c r="A796" s="5"/>
      <c r="D796" s="5"/>
    </row>
    <row r="797" ht="15.75" customHeight="1">
      <c r="A797" s="5"/>
      <c r="D797" s="5"/>
    </row>
    <row r="798" ht="15.75" customHeight="1">
      <c r="A798" s="5"/>
      <c r="D798" s="5"/>
    </row>
    <row r="799" ht="15.75" customHeight="1">
      <c r="A799" s="5"/>
      <c r="D799" s="5"/>
    </row>
    <row r="800" ht="15.75" customHeight="1">
      <c r="A800" s="5"/>
      <c r="D800" s="5"/>
    </row>
    <row r="801" ht="15.75" customHeight="1">
      <c r="A801" s="5"/>
      <c r="D801" s="5"/>
    </row>
    <row r="802" ht="15.75" customHeight="1">
      <c r="A802" s="5"/>
      <c r="D802" s="5"/>
    </row>
    <row r="803" ht="15.75" customHeight="1">
      <c r="A803" s="5"/>
      <c r="D803" s="5"/>
    </row>
    <row r="804" ht="15.75" customHeight="1">
      <c r="A804" s="5"/>
      <c r="D804" s="5"/>
    </row>
    <row r="805" ht="15.75" customHeight="1">
      <c r="A805" s="5"/>
      <c r="D805" s="5"/>
    </row>
    <row r="806" ht="15.75" customHeight="1">
      <c r="A806" s="5"/>
      <c r="D806" s="5"/>
    </row>
    <row r="807" ht="15.75" customHeight="1">
      <c r="A807" s="5"/>
      <c r="D807" s="5"/>
    </row>
    <row r="808" ht="15.75" customHeight="1">
      <c r="A808" s="5"/>
      <c r="D808" s="5"/>
    </row>
    <row r="809" ht="15.75" customHeight="1">
      <c r="A809" s="5"/>
      <c r="D809" s="5"/>
    </row>
    <row r="810" ht="15.75" customHeight="1">
      <c r="A810" s="5"/>
      <c r="D810" s="5"/>
    </row>
    <row r="811" ht="15.75" customHeight="1">
      <c r="A811" s="5"/>
      <c r="D811" s="5"/>
    </row>
    <row r="812" ht="15.75" customHeight="1">
      <c r="A812" s="5"/>
      <c r="D812" s="5"/>
    </row>
    <row r="813" ht="15.75" customHeight="1">
      <c r="A813" s="5"/>
      <c r="D813" s="5"/>
    </row>
    <row r="814" ht="15.75" customHeight="1">
      <c r="A814" s="5"/>
      <c r="D814" s="5"/>
    </row>
    <row r="815" ht="15.75" customHeight="1">
      <c r="A815" s="5"/>
      <c r="D815" s="5"/>
    </row>
    <row r="816" ht="15.75" customHeight="1">
      <c r="A816" s="5"/>
      <c r="D816" s="5"/>
    </row>
    <row r="817" ht="15.75" customHeight="1">
      <c r="A817" s="5"/>
      <c r="D817" s="5"/>
    </row>
    <row r="818" ht="15.75" customHeight="1">
      <c r="A818" s="5"/>
      <c r="D818" s="5"/>
    </row>
    <row r="819" ht="15.75" customHeight="1">
      <c r="A819" s="5"/>
      <c r="D819" s="5"/>
    </row>
    <row r="820" ht="15.75" customHeight="1">
      <c r="A820" s="5"/>
      <c r="D820" s="5"/>
    </row>
    <row r="821" ht="15.75" customHeight="1">
      <c r="A821" s="5"/>
      <c r="D821" s="5"/>
    </row>
    <row r="822" ht="15.75" customHeight="1">
      <c r="A822" s="5"/>
      <c r="D822" s="5"/>
    </row>
    <row r="823" ht="15.75" customHeight="1">
      <c r="A823" s="5"/>
      <c r="D823" s="5"/>
    </row>
    <row r="824" ht="15.75" customHeight="1">
      <c r="A824" s="5"/>
      <c r="D824" s="5"/>
    </row>
    <row r="825" ht="15.75" customHeight="1">
      <c r="A825" s="5"/>
      <c r="D825" s="5"/>
    </row>
    <row r="826" ht="15.75" customHeight="1">
      <c r="A826" s="5"/>
      <c r="D826" s="5"/>
    </row>
    <row r="827" ht="15.75" customHeight="1">
      <c r="A827" s="5"/>
      <c r="D827" s="5"/>
    </row>
    <row r="828" ht="15.75" customHeight="1">
      <c r="A828" s="5"/>
      <c r="D828" s="5"/>
    </row>
    <row r="829" ht="15.75" customHeight="1">
      <c r="A829" s="5"/>
      <c r="D829" s="5"/>
    </row>
    <row r="830" ht="15.75" customHeight="1">
      <c r="A830" s="5"/>
      <c r="D830" s="5"/>
    </row>
    <row r="831" ht="15.75" customHeight="1">
      <c r="A831" s="5"/>
      <c r="D831" s="5"/>
    </row>
    <row r="832" ht="15.75" customHeight="1">
      <c r="A832" s="5"/>
      <c r="D832" s="5"/>
    </row>
    <row r="833" ht="15.75" customHeight="1">
      <c r="A833" s="5"/>
      <c r="D833" s="5"/>
    </row>
    <row r="834" ht="15.75" customHeight="1">
      <c r="A834" s="5"/>
      <c r="D834" s="5"/>
    </row>
    <row r="835" ht="15.75" customHeight="1">
      <c r="A835" s="5"/>
      <c r="D835" s="5"/>
    </row>
    <row r="836" ht="15.75" customHeight="1">
      <c r="A836" s="5"/>
      <c r="D836" s="5"/>
    </row>
    <row r="837" ht="15.75" customHeight="1">
      <c r="A837" s="5"/>
      <c r="D837" s="5"/>
    </row>
    <row r="838" ht="15.75" customHeight="1">
      <c r="A838" s="5"/>
      <c r="D838" s="5"/>
    </row>
    <row r="839" ht="15.75" customHeight="1">
      <c r="A839" s="5"/>
      <c r="D839" s="5"/>
    </row>
    <row r="840" ht="15.75" customHeight="1">
      <c r="A840" s="5"/>
      <c r="D840" s="5"/>
    </row>
    <row r="841" ht="15.75" customHeight="1">
      <c r="A841" s="5"/>
      <c r="D841" s="5"/>
    </row>
    <row r="842" ht="15.75" customHeight="1">
      <c r="A842" s="5"/>
      <c r="D842" s="5"/>
    </row>
    <row r="843" ht="15.75" customHeight="1">
      <c r="A843" s="5"/>
      <c r="D843" s="5"/>
    </row>
    <row r="844" ht="15.75" customHeight="1">
      <c r="A844" s="5"/>
      <c r="D844" s="5"/>
    </row>
    <row r="845" ht="15.75" customHeight="1">
      <c r="A845" s="5"/>
      <c r="D845" s="5"/>
    </row>
    <row r="846" ht="15.75" customHeight="1">
      <c r="A846" s="5"/>
      <c r="D846" s="5"/>
    </row>
    <row r="847" ht="15.75" customHeight="1">
      <c r="A847" s="5"/>
      <c r="D847" s="5"/>
    </row>
    <row r="848" ht="15.75" customHeight="1">
      <c r="A848" s="5"/>
      <c r="D848" s="5"/>
    </row>
    <row r="849" ht="15.75" customHeight="1">
      <c r="A849" s="5"/>
      <c r="D849" s="5"/>
    </row>
    <row r="850" ht="15.75" customHeight="1">
      <c r="A850" s="5"/>
      <c r="D850" s="5"/>
    </row>
    <row r="851" ht="15.75" customHeight="1">
      <c r="A851" s="5"/>
      <c r="D851" s="5"/>
    </row>
    <row r="852" ht="15.75" customHeight="1">
      <c r="A852" s="5"/>
      <c r="D852" s="5"/>
    </row>
    <row r="853" ht="15.75" customHeight="1">
      <c r="A853" s="5"/>
      <c r="D853" s="5"/>
    </row>
    <row r="854" ht="15.75" customHeight="1">
      <c r="A854" s="5"/>
      <c r="D854" s="5"/>
    </row>
    <row r="855" ht="15.75" customHeight="1">
      <c r="A855" s="5"/>
      <c r="D855" s="5"/>
    </row>
    <row r="856" ht="15.75" customHeight="1">
      <c r="A856" s="5"/>
      <c r="D856" s="5"/>
    </row>
    <row r="857" ht="15.75" customHeight="1">
      <c r="A857" s="5"/>
      <c r="D857" s="5"/>
    </row>
    <row r="858" ht="15.75" customHeight="1">
      <c r="A858" s="5"/>
      <c r="D858" s="5"/>
    </row>
    <row r="859" ht="15.75" customHeight="1">
      <c r="A859" s="5"/>
      <c r="D859" s="5"/>
    </row>
    <row r="860" ht="15.75" customHeight="1">
      <c r="A860" s="5"/>
      <c r="D860" s="5"/>
    </row>
    <row r="861" ht="15.75" customHeight="1">
      <c r="A861" s="5"/>
      <c r="D861" s="5"/>
    </row>
    <row r="862" ht="15.75" customHeight="1">
      <c r="A862" s="5"/>
      <c r="D862" s="5"/>
    </row>
    <row r="863" ht="15.75" customHeight="1">
      <c r="A863" s="5"/>
      <c r="D863" s="5"/>
    </row>
    <row r="864" ht="15.75" customHeight="1">
      <c r="A864" s="5"/>
      <c r="D864" s="5"/>
    </row>
    <row r="865" ht="15.75" customHeight="1">
      <c r="A865" s="5"/>
      <c r="D865" s="5"/>
    </row>
    <row r="866" ht="15.75" customHeight="1">
      <c r="A866" s="5"/>
      <c r="D866" s="5"/>
    </row>
    <row r="867" ht="15.75" customHeight="1">
      <c r="A867" s="5"/>
      <c r="D867" s="5"/>
    </row>
    <row r="868" ht="15.75" customHeight="1">
      <c r="A868" s="5"/>
      <c r="D868" s="5"/>
    </row>
    <row r="869" ht="15.75" customHeight="1">
      <c r="A869" s="5"/>
      <c r="D869" s="5"/>
    </row>
    <row r="870" ht="15.75" customHeight="1">
      <c r="A870" s="5"/>
      <c r="D870" s="5"/>
    </row>
    <row r="871" ht="15.75" customHeight="1">
      <c r="A871" s="5"/>
      <c r="D871" s="5"/>
    </row>
    <row r="872" ht="15.75" customHeight="1">
      <c r="A872" s="5"/>
      <c r="D872" s="5"/>
    </row>
    <row r="873" ht="15.75" customHeight="1">
      <c r="A873" s="5"/>
      <c r="D873" s="5"/>
    </row>
    <row r="874" ht="15.75" customHeight="1">
      <c r="A874" s="5"/>
      <c r="D874" s="5"/>
    </row>
    <row r="875" ht="15.75" customHeight="1">
      <c r="A875" s="5"/>
      <c r="D875" s="5"/>
    </row>
    <row r="876" ht="15.75" customHeight="1">
      <c r="A876" s="5"/>
      <c r="D876" s="5"/>
    </row>
    <row r="877" ht="15.75" customHeight="1">
      <c r="A877" s="5"/>
      <c r="D877" s="5"/>
    </row>
    <row r="878" ht="15.75" customHeight="1">
      <c r="A878" s="5"/>
      <c r="D878" s="5"/>
    </row>
    <row r="879" ht="15.75" customHeight="1">
      <c r="A879" s="5"/>
      <c r="D879" s="5"/>
    </row>
    <row r="880" ht="15.75" customHeight="1">
      <c r="A880" s="5"/>
      <c r="D880" s="5"/>
    </row>
    <row r="881" ht="15.75" customHeight="1">
      <c r="A881" s="5"/>
      <c r="D881" s="5"/>
    </row>
    <row r="882" ht="15.75" customHeight="1">
      <c r="A882" s="5"/>
      <c r="D882" s="5"/>
    </row>
    <row r="883" ht="15.75" customHeight="1">
      <c r="A883" s="5"/>
      <c r="D883" s="5"/>
    </row>
    <row r="884" ht="15.75" customHeight="1">
      <c r="A884" s="5"/>
      <c r="D884" s="5"/>
    </row>
    <row r="885" ht="15.75" customHeight="1">
      <c r="A885" s="5"/>
      <c r="D885" s="5"/>
    </row>
    <row r="886" ht="15.75" customHeight="1">
      <c r="A886" s="5"/>
      <c r="D886" s="5"/>
    </row>
    <row r="887" ht="15.75" customHeight="1">
      <c r="A887" s="5"/>
      <c r="D887" s="5"/>
    </row>
    <row r="888" ht="15.75" customHeight="1">
      <c r="A888" s="5"/>
      <c r="D888" s="5"/>
    </row>
    <row r="889" ht="15.75" customHeight="1">
      <c r="A889" s="5"/>
      <c r="D889" s="5"/>
    </row>
    <row r="890" ht="15.75" customHeight="1">
      <c r="A890" s="5"/>
      <c r="D890" s="5"/>
    </row>
    <row r="891" ht="15.75" customHeight="1">
      <c r="A891" s="5"/>
      <c r="D891" s="5"/>
    </row>
    <row r="892" ht="15.75" customHeight="1">
      <c r="A892" s="5"/>
      <c r="D892" s="5"/>
    </row>
    <row r="893" ht="15.75" customHeight="1">
      <c r="A893" s="5"/>
      <c r="D893" s="5"/>
    </row>
    <row r="894" ht="15.75" customHeight="1">
      <c r="A894" s="5"/>
      <c r="D894" s="5"/>
    </row>
    <row r="895" ht="15.75" customHeight="1">
      <c r="A895" s="5"/>
      <c r="D895" s="5"/>
    </row>
    <row r="896" ht="15.75" customHeight="1">
      <c r="A896" s="5"/>
      <c r="D896" s="5"/>
    </row>
    <row r="897" ht="15.75" customHeight="1">
      <c r="A897" s="5"/>
      <c r="D897" s="5"/>
    </row>
    <row r="898" ht="15.75" customHeight="1">
      <c r="A898" s="5"/>
      <c r="D898" s="5"/>
    </row>
    <row r="899" ht="15.75" customHeight="1">
      <c r="A899" s="5"/>
      <c r="D899" s="5"/>
    </row>
    <row r="900" ht="15.75" customHeight="1">
      <c r="A900" s="5"/>
      <c r="D900" s="5"/>
    </row>
    <row r="901" ht="15.75" customHeight="1">
      <c r="A901" s="5"/>
      <c r="D901" s="5"/>
    </row>
    <row r="902" ht="15.75" customHeight="1">
      <c r="A902" s="5"/>
      <c r="D902" s="5"/>
    </row>
    <row r="903" ht="15.75" customHeight="1">
      <c r="A903" s="5"/>
      <c r="D903" s="5"/>
    </row>
    <row r="904" ht="15.75" customHeight="1">
      <c r="A904" s="5"/>
      <c r="D904" s="5"/>
    </row>
    <row r="905" ht="15.75" customHeight="1">
      <c r="A905" s="5"/>
      <c r="D905" s="5"/>
    </row>
    <row r="906" ht="15.75" customHeight="1">
      <c r="A906" s="5"/>
      <c r="D906" s="5"/>
    </row>
    <row r="907" ht="15.75" customHeight="1">
      <c r="A907" s="5"/>
      <c r="D907" s="5"/>
    </row>
    <row r="908" ht="15.75" customHeight="1">
      <c r="A908" s="5"/>
      <c r="D908" s="5"/>
    </row>
    <row r="909" ht="15.75" customHeight="1">
      <c r="A909" s="5"/>
      <c r="D909" s="5"/>
    </row>
    <row r="910" ht="15.75" customHeight="1">
      <c r="A910" s="5"/>
      <c r="D910" s="5"/>
    </row>
    <row r="911" ht="15.75" customHeight="1">
      <c r="A911" s="5"/>
      <c r="D911" s="5"/>
    </row>
    <row r="912" ht="15.75" customHeight="1">
      <c r="A912" s="5"/>
      <c r="D912" s="5"/>
    </row>
    <row r="913" ht="15.75" customHeight="1">
      <c r="A913" s="5"/>
      <c r="D913" s="5"/>
    </row>
    <row r="914" ht="15.75" customHeight="1">
      <c r="A914" s="5"/>
      <c r="D914" s="5"/>
    </row>
    <row r="915" ht="15.75" customHeight="1">
      <c r="A915" s="5"/>
      <c r="D915" s="5"/>
    </row>
    <row r="916" ht="15.75" customHeight="1">
      <c r="A916" s="5"/>
      <c r="D916" s="5"/>
    </row>
    <row r="917" ht="15.75" customHeight="1">
      <c r="A917" s="5"/>
      <c r="D917" s="5"/>
    </row>
    <row r="918" ht="15.75" customHeight="1">
      <c r="A918" s="5"/>
      <c r="D918" s="5"/>
    </row>
    <row r="919" ht="15.75" customHeight="1">
      <c r="A919" s="5"/>
      <c r="D919" s="5"/>
    </row>
    <row r="920" ht="15.75" customHeight="1">
      <c r="A920" s="5"/>
      <c r="D920" s="5"/>
    </row>
    <row r="921" ht="15.75" customHeight="1">
      <c r="A921" s="5"/>
      <c r="D921" s="5"/>
    </row>
    <row r="922" ht="15.75" customHeight="1">
      <c r="A922" s="5"/>
      <c r="D922" s="5"/>
    </row>
    <row r="923" ht="15.75" customHeight="1">
      <c r="A923" s="5"/>
      <c r="D923" s="5"/>
    </row>
    <row r="924" ht="15.75" customHeight="1">
      <c r="A924" s="5"/>
      <c r="D924" s="5"/>
    </row>
    <row r="925" ht="15.75" customHeight="1">
      <c r="A925" s="5"/>
      <c r="D925" s="5"/>
    </row>
    <row r="926" ht="15.75" customHeight="1">
      <c r="A926" s="5"/>
      <c r="D926" s="5"/>
    </row>
    <row r="927" ht="15.75" customHeight="1">
      <c r="A927" s="5"/>
      <c r="D927" s="5"/>
    </row>
    <row r="928" ht="15.75" customHeight="1">
      <c r="A928" s="5"/>
      <c r="D928" s="5"/>
    </row>
    <row r="929" ht="15.75" customHeight="1">
      <c r="A929" s="5"/>
      <c r="D929" s="5"/>
    </row>
    <row r="930" ht="15.75" customHeight="1">
      <c r="A930" s="5"/>
      <c r="D930" s="5"/>
    </row>
    <row r="931" ht="15.75" customHeight="1">
      <c r="A931" s="5"/>
      <c r="D931" s="5"/>
    </row>
    <row r="932" ht="15.75" customHeight="1">
      <c r="A932" s="5"/>
      <c r="D932" s="5"/>
    </row>
    <row r="933" ht="15.75" customHeight="1">
      <c r="A933" s="5"/>
      <c r="D933" s="5"/>
    </row>
    <row r="934" ht="15.75" customHeight="1">
      <c r="A934" s="5"/>
      <c r="D934" s="5"/>
    </row>
    <row r="935" ht="15.75" customHeight="1">
      <c r="A935" s="5"/>
      <c r="D935" s="5"/>
    </row>
    <row r="936" ht="15.75" customHeight="1">
      <c r="A936" s="5"/>
      <c r="D936" s="5"/>
    </row>
    <row r="937" ht="15.75" customHeight="1">
      <c r="A937" s="5"/>
      <c r="D937" s="5"/>
    </row>
    <row r="938" ht="15.75" customHeight="1">
      <c r="A938" s="5"/>
      <c r="D938" s="5"/>
    </row>
    <row r="939" ht="15.75" customHeight="1">
      <c r="A939" s="5"/>
      <c r="D939" s="5"/>
    </row>
    <row r="940" ht="15.75" customHeight="1">
      <c r="A940" s="5"/>
      <c r="D940" s="5"/>
    </row>
    <row r="941" ht="15.75" customHeight="1">
      <c r="A941" s="5"/>
      <c r="D941" s="5"/>
    </row>
    <row r="942" ht="15.75" customHeight="1">
      <c r="A942" s="5"/>
      <c r="D942" s="5"/>
    </row>
    <row r="943" ht="15.75" customHeight="1">
      <c r="A943" s="5"/>
      <c r="D943" s="5"/>
    </row>
    <row r="944" ht="15.75" customHeight="1">
      <c r="A944" s="5"/>
      <c r="D944" s="5"/>
    </row>
    <row r="945" ht="15.75" customHeight="1">
      <c r="A945" s="5"/>
      <c r="D945" s="5"/>
    </row>
    <row r="946" ht="15.75" customHeight="1">
      <c r="A946" s="5"/>
      <c r="D946" s="5"/>
    </row>
    <row r="947" ht="15.75" customHeight="1">
      <c r="A947" s="5"/>
      <c r="D947" s="5"/>
    </row>
    <row r="948" ht="15.75" customHeight="1">
      <c r="A948" s="5"/>
      <c r="D948" s="5"/>
    </row>
    <row r="949" ht="15.75" customHeight="1">
      <c r="A949" s="5"/>
      <c r="D949" s="5"/>
    </row>
    <row r="950" ht="15.75" customHeight="1">
      <c r="A950" s="5"/>
      <c r="D950" s="5"/>
    </row>
    <row r="951" ht="15.75" customHeight="1">
      <c r="A951" s="5"/>
      <c r="D951" s="5"/>
    </row>
    <row r="952" ht="15.75" customHeight="1">
      <c r="A952" s="5"/>
      <c r="D952" s="5"/>
    </row>
    <row r="953" ht="15.75" customHeight="1">
      <c r="A953" s="5"/>
      <c r="D953" s="5"/>
    </row>
    <row r="954" ht="15.75" customHeight="1">
      <c r="A954" s="5"/>
      <c r="D954" s="5"/>
    </row>
    <row r="955" ht="15.75" customHeight="1">
      <c r="A955" s="5"/>
      <c r="D955" s="5"/>
    </row>
    <row r="956" ht="15.75" customHeight="1">
      <c r="A956" s="5"/>
      <c r="D956" s="5"/>
    </row>
    <row r="957" ht="15.75" customHeight="1">
      <c r="A957" s="5"/>
      <c r="D957" s="5"/>
    </row>
    <row r="958" ht="15.75" customHeight="1">
      <c r="A958" s="5"/>
      <c r="D958" s="5"/>
    </row>
    <row r="959" ht="15.75" customHeight="1">
      <c r="A959" s="5"/>
      <c r="D959" s="5"/>
    </row>
    <row r="960" ht="15.75" customHeight="1">
      <c r="A960" s="5"/>
      <c r="D960" s="5"/>
    </row>
    <row r="961" ht="15.75" customHeight="1">
      <c r="A961" s="5"/>
      <c r="D961" s="5"/>
    </row>
    <row r="962" ht="15.75" customHeight="1">
      <c r="A962" s="5"/>
      <c r="D962" s="5"/>
    </row>
    <row r="963" ht="15.75" customHeight="1">
      <c r="A963" s="5"/>
      <c r="D963" s="5"/>
    </row>
    <row r="964" ht="15.75" customHeight="1">
      <c r="A964" s="5"/>
      <c r="D964" s="5"/>
    </row>
    <row r="965" ht="15.75" customHeight="1">
      <c r="A965" s="5"/>
      <c r="D965" s="5"/>
    </row>
    <row r="966" ht="15.75" customHeight="1">
      <c r="A966" s="5"/>
      <c r="D966" s="5"/>
    </row>
    <row r="967" ht="15.75" customHeight="1">
      <c r="A967" s="5"/>
      <c r="D967" s="5"/>
    </row>
    <row r="968" ht="15.75" customHeight="1">
      <c r="A968" s="5"/>
      <c r="D968" s="5"/>
    </row>
    <row r="969" ht="15.75" customHeight="1">
      <c r="A969" s="5"/>
      <c r="D969" s="5"/>
    </row>
    <row r="970" ht="15.75" customHeight="1">
      <c r="A970" s="5"/>
      <c r="D970" s="5"/>
    </row>
    <row r="971" ht="15.75" customHeight="1">
      <c r="A971" s="5"/>
      <c r="D971" s="5"/>
    </row>
    <row r="972" ht="15.75" customHeight="1">
      <c r="A972" s="5"/>
      <c r="D972" s="5"/>
    </row>
    <row r="973" ht="15.75" customHeight="1">
      <c r="A973" s="5"/>
      <c r="D973" s="5"/>
    </row>
    <row r="974" ht="15.75" customHeight="1">
      <c r="A974" s="5"/>
      <c r="D974" s="5"/>
    </row>
    <row r="975" ht="15.75" customHeight="1">
      <c r="A975" s="5"/>
      <c r="D975" s="5"/>
    </row>
    <row r="976" ht="15.75" customHeight="1">
      <c r="A976" s="5"/>
      <c r="D976" s="5"/>
    </row>
    <row r="977" ht="15.75" customHeight="1">
      <c r="A977" s="5"/>
      <c r="D977" s="5"/>
    </row>
    <row r="978" ht="15.75" customHeight="1">
      <c r="A978" s="5"/>
      <c r="D978" s="5"/>
    </row>
    <row r="979" ht="15.75" customHeight="1">
      <c r="A979" s="5"/>
      <c r="D979" s="5"/>
    </row>
    <row r="980" ht="15.75" customHeight="1">
      <c r="A980" s="5"/>
      <c r="D980" s="5"/>
    </row>
    <row r="981" ht="15.75" customHeight="1">
      <c r="A981" s="5"/>
      <c r="D981" s="5"/>
    </row>
    <row r="982" ht="15.75" customHeight="1">
      <c r="A982" s="5"/>
      <c r="D982" s="5"/>
    </row>
    <row r="983" ht="15.75" customHeight="1">
      <c r="A983" s="5"/>
      <c r="D983" s="5"/>
    </row>
    <row r="984" ht="15.75" customHeight="1">
      <c r="A984" s="5"/>
      <c r="D984" s="5"/>
    </row>
    <row r="985" ht="15.75" customHeight="1">
      <c r="A985" s="5"/>
      <c r="D985" s="5"/>
    </row>
    <row r="986" ht="15.75" customHeight="1">
      <c r="A986" s="5"/>
      <c r="D986" s="5"/>
    </row>
    <row r="987" ht="15.75" customHeight="1">
      <c r="A987" s="5"/>
      <c r="D987" s="5"/>
    </row>
    <row r="988" ht="15.75" customHeight="1">
      <c r="A988" s="5"/>
      <c r="D988" s="5"/>
    </row>
    <row r="989" ht="15.75" customHeight="1">
      <c r="A989" s="5"/>
      <c r="D989" s="5"/>
    </row>
    <row r="990" ht="15.75" customHeight="1">
      <c r="A990" s="5"/>
      <c r="D990" s="5"/>
    </row>
    <row r="991" ht="15.75" customHeight="1">
      <c r="A991" s="5"/>
      <c r="D991" s="5"/>
    </row>
    <row r="992" ht="15.75" customHeight="1">
      <c r="A992" s="5"/>
      <c r="D992" s="5"/>
    </row>
    <row r="993" ht="15.75" customHeight="1">
      <c r="A993" s="5"/>
      <c r="D993" s="5"/>
    </row>
    <row r="994" ht="15.75" customHeight="1">
      <c r="A994" s="5"/>
      <c r="D994" s="5"/>
    </row>
    <row r="995" ht="15.75" customHeight="1">
      <c r="A995" s="5"/>
      <c r="D995" s="5"/>
    </row>
    <row r="996" ht="15.75" customHeight="1">
      <c r="A996" s="5"/>
      <c r="D996" s="5"/>
    </row>
    <row r="997" ht="15.75" customHeight="1">
      <c r="A997" s="5"/>
      <c r="D997" s="5"/>
    </row>
    <row r="998" ht="15.75" customHeight="1">
      <c r="A998" s="5"/>
      <c r="D998" s="5"/>
    </row>
    <row r="999" ht="15.75" customHeight="1">
      <c r="A999" s="5"/>
      <c r="D999" s="5"/>
    </row>
    <row r="1000" ht="15.75" customHeight="1">
      <c r="A1000" s="5"/>
      <c r="D1000" s="5"/>
    </row>
  </sheetData>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57"/>
    <col customWidth="1" min="2" max="2" width="23.14"/>
    <col customWidth="1" min="3" max="3" width="10.71"/>
    <col customWidth="1" min="4" max="4" width="21.71"/>
    <col customWidth="1" min="5" max="26" width="10.71"/>
  </cols>
  <sheetData>
    <row r="3">
      <c r="D3" s="7" t="s">
        <v>60</v>
      </c>
      <c r="E3" s="7" t="s">
        <v>59</v>
      </c>
    </row>
    <row r="4"/>
    <row r="5">
      <c r="D5" s="7" t="s">
        <v>62</v>
      </c>
      <c r="E5" s="9"/>
    </row>
    <row r="6">
      <c r="D6" s="7" t="s">
        <v>64</v>
      </c>
      <c r="E6" s="9">
        <v>1.0</v>
      </c>
    </row>
    <row r="7">
      <c r="D7" s="7" t="s">
        <v>66</v>
      </c>
      <c r="E7" s="9">
        <v>90.0</v>
      </c>
    </row>
    <row r="8">
      <c r="D8" s="7" t="s">
        <v>13</v>
      </c>
      <c r="E8" s="9">
        <v>10.0</v>
      </c>
    </row>
    <row r="9">
      <c r="D9" s="7" t="s">
        <v>23</v>
      </c>
      <c r="E9" s="9">
        <v>10.0</v>
      </c>
    </row>
    <row r="10">
      <c r="D10" s="7" t="s">
        <v>67</v>
      </c>
      <c r="E10" s="9">
        <f>SUM(E6:E9)</f>
        <v>111</v>
      </c>
    </row>
    <row r="1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39.0"/>
    <col customWidth="1" min="3" max="3" width="74.29"/>
    <col customWidth="1" min="4" max="4" width="37.57"/>
    <col customWidth="1" min="5" max="5" width="18.71"/>
    <col customWidth="1" min="6" max="6" width="14.86"/>
    <col customWidth="1" min="7" max="9" width="9.14"/>
    <col customWidth="1" min="10" max="10" width="16.71"/>
    <col customWidth="1" min="11" max="11" width="9.14"/>
    <col customWidth="1" min="12" max="12" width="20.86"/>
    <col customWidth="1" min="13" max="26" width="9.14"/>
  </cols>
  <sheetData>
    <row r="1" ht="31.5" customHeight="1">
      <c r="A1" s="10" t="s">
        <v>0</v>
      </c>
      <c r="B1" s="10" t="s">
        <v>1</v>
      </c>
      <c r="C1" s="10" t="s">
        <v>1</v>
      </c>
      <c r="D1" s="10" t="s">
        <v>3</v>
      </c>
      <c r="E1" s="11" t="s">
        <v>4</v>
      </c>
      <c r="F1" s="10" t="s">
        <v>5</v>
      </c>
      <c r="G1" s="12" t="s">
        <v>6</v>
      </c>
      <c r="H1" s="12" t="s">
        <v>7</v>
      </c>
      <c r="I1" s="12" t="s">
        <v>8</v>
      </c>
      <c r="J1" s="12" t="s">
        <v>9</v>
      </c>
      <c r="K1" s="13"/>
      <c r="L1" s="13"/>
      <c r="M1" s="13"/>
      <c r="N1" s="13"/>
      <c r="O1" s="13"/>
      <c r="P1" s="13"/>
      <c r="Q1" s="13"/>
      <c r="R1" s="13"/>
      <c r="S1" s="13"/>
      <c r="T1" s="13"/>
      <c r="U1" s="13"/>
      <c r="V1" s="13"/>
      <c r="W1" s="13"/>
      <c r="X1" s="13"/>
      <c r="Y1" s="13"/>
      <c r="Z1" s="13"/>
    </row>
    <row r="2" ht="27.75" customHeight="1">
      <c r="A2" s="14">
        <v>1.0</v>
      </c>
      <c r="B2" s="14" t="s">
        <v>69</v>
      </c>
      <c r="C2" s="14" t="s">
        <v>70</v>
      </c>
      <c r="D2" s="14" t="s">
        <v>71</v>
      </c>
      <c r="E2" s="14" t="s">
        <v>72</v>
      </c>
      <c r="F2" s="14" t="s">
        <v>66</v>
      </c>
      <c r="G2" s="13" t="str">
        <f t="shared" ref="G2:G73" si="1">MID(B2,8,2)</f>
        <v>28</v>
      </c>
      <c r="H2" s="13" t="str">
        <f t="shared" ref="H2:H73" si="2">MID(B2,10,2)</f>
        <v>11</v>
      </c>
      <c r="I2" s="13" t="str">
        <f t="shared" ref="I2:I77" si="3">MID(B2,12,2)</f>
        <v>22</v>
      </c>
      <c r="J2" s="13" t="s">
        <v>73</v>
      </c>
      <c r="K2" s="13" t="s">
        <v>74</v>
      </c>
      <c r="L2" s="13" t="str">
        <f t="shared" ref="L2:L77" si="4">CONCATENATE(J2,K2, F2)</f>
        <v>Instalación - Cumplido</v>
      </c>
      <c r="M2" s="13"/>
      <c r="N2" s="13"/>
      <c r="O2" s="13"/>
      <c r="P2" s="13"/>
      <c r="Q2" s="13"/>
      <c r="R2" s="13"/>
      <c r="S2" s="13"/>
      <c r="T2" s="13"/>
      <c r="U2" s="13"/>
      <c r="V2" s="13"/>
      <c r="W2" s="13"/>
      <c r="X2" s="13"/>
      <c r="Y2" s="13"/>
      <c r="Z2" s="13"/>
    </row>
    <row r="3" ht="27.75" customHeight="1">
      <c r="A3" s="14">
        <v>2.0</v>
      </c>
      <c r="B3" s="14" t="s">
        <v>75</v>
      </c>
      <c r="C3" s="14" t="s">
        <v>76</v>
      </c>
      <c r="D3" s="14" t="s">
        <v>17</v>
      </c>
      <c r="E3" s="14" t="s">
        <v>72</v>
      </c>
      <c r="F3" s="14" t="s">
        <v>66</v>
      </c>
      <c r="G3" s="13" t="str">
        <f t="shared" si="1"/>
        <v>28</v>
      </c>
      <c r="H3" s="13" t="str">
        <f t="shared" si="2"/>
        <v>11</v>
      </c>
      <c r="I3" s="13" t="str">
        <f t="shared" si="3"/>
        <v>22</v>
      </c>
      <c r="J3" s="13" t="s">
        <v>73</v>
      </c>
      <c r="K3" s="13" t="s">
        <v>74</v>
      </c>
      <c r="L3" s="13" t="str">
        <f t="shared" si="4"/>
        <v>Instalación - Cumplido</v>
      </c>
      <c r="M3" s="13"/>
      <c r="N3" s="13"/>
      <c r="O3" s="13"/>
      <c r="P3" s="13"/>
      <c r="Q3" s="13"/>
      <c r="R3" s="13"/>
      <c r="S3" s="13"/>
      <c r="T3" s="13"/>
      <c r="U3" s="13"/>
      <c r="V3" s="13"/>
      <c r="W3" s="13"/>
      <c r="X3" s="13"/>
      <c r="Y3" s="13"/>
      <c r="Z3" s="13"/>
    </row>
    <row r="4" ht="27.75" customHeight="1">
      <c r="A4" s="14">
        <v>3.0</v>
      </c>
      <c r="B4" s="14" t="s">
        <v>77</v>
      </c>
      <c r="C4" s="14" t="s">
        <v>78</v>
      </c>
      <c r="D4" s="14" t="s">
        <v>17</v>
      </c>
      <c r="E4" s="14" t="s">
        <v>72</v>
      </c>
      <c r="F4" s="14" t="s">
        <v>66</v>
      </c>
      <c r="G4" s="13" t="str">
        <f t="shared" si="1"/>
        <v>28</v>
      </c>
      <c r="H4" s="13" t="str">
        <f t="shared" si="2"/>
        <v>11</v>
      </c>
      <c r="I4" s="13" t="str">
        <f t="shared" si="3"/>
        <v>22</v>
      </c>
      <c r="J4" s="13" t="s">
        <v>73</v>
      </c>
      <c r="K4" s="13" t="s">
        <v>74</v>
      </c>
      <c r="L4" s="13" t="str">
        <f t="shared" si="4"/>
        <v>Instalación - Cumplido</v>
      </c>
      <c r="M4" s="13"/>
      <c r="N4" s="13"/>
      <c r="O4" s="13"/>
      <c r="P4" s="13"/>
      <c r="Q4" s="13"/>
      <c r="R4" s="13"/>
      <c r="S4" s="13"/>
      <c r="T4" s="13"/>
      <c r="U4" s="13"/>
      <c r="V4" s="13"/>
      <c r="W4" s="13"/>
      <c r="X4" s="13"/>
      <c r="Y4" s="13"/>
      <c r="Z4" s="13"/>
    </row>
    <row r="5" ht="27.75" customHeight="1">
      <c r="A5" s="14">
        <v>4.0</v>
      </c>
      <c r="B5" s="14" t="s">
        <v>79</v>
      </c>
      <c r="C5" s="14" t="s">
        <v>80</v>
      </c>
      <c r="D5" s="14" t="s">
        <v>71</v>
      </c>
      <c r="E5" s="14" t="s">
        <v>81</v>
      </c>
      <c r="F5" s="14" t="s">
        <v>66</v>
      </c>
      <c r="G5" s="13" t="str">
        <f t="shared" si="1"/>
        <v>28</v>
      </c>
      <c r="H5" s="13" t="str">
        <f t="shared" si="2"/>
        <v>11</v>
      </c>
      <c r="I5" s="13" t="str">
        <f t="shared" si="3"/>
        <v>22</v>
      </c>
      <c r="J5" s="13" t="s">
        <v>73</v>
      </c>
      <c r="K5" s="13" t="s">
        <v>74</v>
      </c>
      <c r="L5" s="13" t="str">
        <f t="shared" si="4"/>
        <v>Instalación - Cumplido</v>
      </c>
      <c r="M5" s="13"/>
      <c r="N5" s="13"/>
      <c r="O5" s="13"/>
      <c r="P5" s="13"/>
      <c r="Q5" s="13"/>
      <c r="R5" s="13"/>
      <c r="S5" s="13"/>
      <c r="T5" s="13"/>
      <c r="U5" s="13"/>
      <c r="V5" s="13"/>
      <c r="W5" s="13"/>
      <c r="X5" s="13"/>
      <c r="Y5" s="13"/>
      <c r="Z5" s="13"/>
    </row>
    <row r="6" ht="57.75" customHeight="1">
      <c r="A6" s="15">
        <v>5.0</v>
      </c>
      <c r="B6" s="15" t="s">
        <v>82</v>
      </c>
      <c r="C6" s="15" t="s">
        <v>83</v>
      </c>
      <c r="D6" s="15" t="s">
        <v>84</v>
      </c>
      <c r="E6" s="15" t="s">
        <v>85</v>
      </c>
      <c r="F6" s="15" t="s">
        <v>66</v>
      </c>
      <c r="G6" s="13" t="str">
        <f t="shared" si="1"/>
        <v>05</v>
      </c>
      <c r="H6" s="13" t="str">
        <f t="shared" si="2"/>
        <v>12</v>
      </c>
      <c r="I6" s="13" t="str">
        <f t="shared" si="3"/>
        <v>22</v>
      </c>
      <c r="J6" s="13" t="s">
        <v>86</v>
      </c>
      <c r="K6" s="13" t="s">
        <v>74</v>
      </c>
      <c r="L6" s="13" t="str">
        <f t="shared" si="4"/>
        <v>1ra Ordinaria - Cumplido</v>
      </c>
      <c r="M6" s="13"/>
      <c r="N6" s="13"/>
      <c r="O6" s="13"/>
      <c r="P6" s="13"/>
      <c r="Q6" s="13"/>
      <c r="R6" s="13"/>
      <c r="S6" s="13"/>
      <c r="T6" s="13"/>
      <c r="U6" s="13"/>
      <c r="V6" s="13"/>
      <c r="W6" s="13"/>
      <c r="X6" s="13"/>
      <c r="Y6" s="13"/>
      <c r="Z6" s="13"/>
    </row>
    <row r="7" ht="57.75" customHeight="1">
      <c r="A7" s="15">
        <v>6.0</v>
      </c>
      <c r="B7" s="15" t="s">
        <v>87</v>
      </c>
      <c r="C7" s="16" t="s">
        <v>88</v>
      </c>
      <c r="D7" s="15" t="s">
        <v>71</v>
      </c>
      <c r="E7" s="15" t="s">
        <v>89</v>
      </c>
      <c r="F7" s="15" t="s">
        <v>66</v>
      </c>
      <c r="G7" s="13" t="str">
        <f t="shared" si="1"/>
        <v>05</v>
      </c>
      <c r="H7" s="13" t="str">
        <f t="shared" si="2"/>
        <v>12</v>
      </c>
      <c r="I7" s="13" t="str">
        <f t="shared" si="3"/>
        <v>22</v>
      </c>
      <c r="J7" s="13" t="s">
        <v>86</v>
      </c>
      <c r="K7" s="13" t="s">
        <v>74</v>
      </c>
      <c r="L7" s="13" t="str">
        <f t="shared" si="4"/>
        <v>1ra Ordinaria - Cumplido</v>
      </c>
      <c r="M7" s="13"/>
      <c r="N7" s="13"/>
      <c r="O7" s="13"/>
      <c r="P7" s="13"/>
      <c r="Q7" s="13"/>
      <c r="R7" s="13"/>
      <c r="S7" s="13"/>
      <c r="T7" s="13"/>
      <c r="U7" s="13"/>
      <c r="V7" s="13"/>
      <c r="W7" s="13"/>
      <c r="X7" s="13"/>
      <c r="Y7" s="13"/>
      <c r="Z7" s="13"/>
    </row>
    <row r="8" ht="57.75" customHeight="1">
      <c r="A8" s="15">
        <v>7.0</v>
      </c>
      <c r="B8" s="15" t="s">
        <v>90</v>
      </c>
      <c r="C8" s="16" t="s">
        <v>91</v>
      </c>
      <c r="D8" s="15" t="s">
        <v>71</v>
      </c>
      <c r="E8" s="15" t="s">
        <v>92</v>
      </c>
      <c r="F8" s="15" t="s">
        <v>66</v>
      </c>
      <c r="G8" s="13" t="str">
        <f t="shared" si="1"/>
        <v>05</v>
      </c>
      <c r="H8" s="13" t="str">
        <f t="shared" si="2"/>
        <v>12</v>
      </c>
      <c r="I8" s="13" t="str">
        <f t="shared" si="3"/>
        <v>22</v>
      </c>
      <c r="J8" s="13" t="s">
        <v>86</v>
      </c>
      <c r="K8" s="13" t="s">
        <v>74</v>
      </c>
      <c r="L8" s="13" t="str">
        <f t="shared" si="4"/>
        <v>1ra Ordinaria - Cumplido</v>
      </c>
      <c r="M8" s="13"/>
      <c r="N8" s="13"/>
      <c r="O8" s="13"/>
      <c r="P8" s="13"/>
      <c r="Q8" s="13"/>
      <c r="R8" s="13"/>
      <c r="S8" s="13"/>
      <c r="T8" s="13"/>
      <c r="U8" s="13"/>
      <c r="V8" s="13"/>
      <c r="W8" s="13"/>
      <c r="X8" s="13"/>
      <c r="Y8" s="13"/>
      <c r="Z8" s="13"/>
    </row>
    <row r="9" ht="27.75" customHeight="1">
      <c r="A9" s="15">
        <v>8.0</v>
      </c>
      <c r="B9" s="15" t="s">
        <v>93</v>
      </c>
      <c r="C9" s="15" t="s">
        <v>94</v>
      </c>
      <c r="D9" s="15" t="s">
        <v>71</v>
      </c>
      <c r="E9" s="15" t="s">
        <v>95</v>
      </c>
      <c r="F9" s="15" t="s">
        <v>23</v>
      </c>
      <c r="G9" s="13" t="str">
        <f t="shared" si="1"/>
        <v>05</v>
      </c>
      <c r="H9" s="13" t="str">
        <f t="shared" si="2"/>
        <v>12</v>
      </c>
      <c r="I9" s="13" t="str">
        <f t="shared" si="3"/>
        <v>22</v>
      </c>
      <c r="J9" s="13" t="s">
        <v>86</v>
      </c>
      <c r="K9" s="13" t="s">
        <v>74</v>
      </c>
      <c r="L9" s="13" t="str">
        <f t="shared" si="4"/>
        <v>1ra Ordinaria - Permanente</v>
      </c>
      <c r="M9" s="13"/>
      <c r="N9" s="13"/>
      <c r="O9" s="13"/>
      <c r="P9" s="13"/>
      <c r="Q9" s="13"/>
      <c r="R9" s="13"/>
      <c r="S9" s="13"/>
      <c r="T9" s="13"/>
      <c r="U9" s="13"/>
      <c r="V9" s="13"/>
      <c r="W9" s="13"/>
      <c r="X9" s="13"/>
      <c r="Y9" s="13"/>
      <c r="Z9" s="13"/>
    </row>
    <row r="10" ht="28.5" customHeight="1">
      <c r="A10" s="14">
        <v>9.0</v>
      </c>
      <c r="B10" s="14" t="s">
        <v>96</v>
      </c>
      <c r="C10" s="14" t="s">
        <v>97</v>
      </c>
      <c r="D10" s="14" t="s">
        <v>71</v>
      </c>
      <c r="E10" s="14" t="s">
        <v>98</v>
      </c>
      <c r="F10" s="14" t="s">
        <v>66</v>
      </c>
      <c r="G10" s="13" t="str">
        <f t="shared" si="1"/>
        <v>10</v>
      </c>
      <c r="H10" s="13" t="str">
        <f t="shared" si="2"/>
        <v>01</v>
      </c>
      <c r="I10" s="13" t="str">
        <f t="shared" si="3"/>
        <v>23</v>
      </c>
      <c r="J10" s="13" t="s">
        <v>99</v>
      </c>
      <c r="K10" s="13" t="s">
        <v>74</v>
      </c>
      <c r="L10" s="13" t="str">
        <f t="shared" si="4"/>
        <v>2da Ordinaria - Cumplido</v>
      </c>
      <c r="M10" s="13"/>
      <c r="N10" s="13"/>
      <c r="O10" s="13"/>
      <c r="P10" s="13"/>
      <c r="Q10" s="13"/>
      <c r="R10" s="13"/>
      <c r="S10" s="13"/>
      <c r="T10" s="13"/>
      <c r="U10" s="13"/>
      <c r="V10" s="13"/>
      <c r="W10" s="13"/>
      <c r="X10" s="13"/>
      <c r="Y10" s="13"/>
      <c r="Z10" s="13"/>
    </row>
    <row r="11" ht="14.25" customHeight="1">
      <c r="A11" s="17">
        <v>10.0</v>
      </c>
      <c r="B11" s="17" t="s">
        <v>100</v>
      </c>
      <c r="C11" s="17" t="s">
        <v>101</v>
      </c>
      <c r="D11" s="17" t="s">
        <v>40</v>
      </c>
      <c r="E11" s="17" t="s">
        <v>102</v>
      </c>
      <c r="F11" s="17" t="s">
        <v>66</v>
      </c>
      <c r="G11" s="13" t="str">
        <f t="shared" si="1"/>
        <v>10</v>
      </c>
      <c r="H11" s="13" t="str">
        <f t="shared" si="2"/>
        <v>01</v>
      </c>
      <c r="I11" s="13" t="str">
        <f t="shared" si="3"/>
        <v>23</v>
      </c>
      <c r="J11" s="13" t="s">
        <v>99</v>
      </c>
      <c r="K11" s="13" t="s">
        <v>74</v>
      </c>
      <c r="L11" s="13" t="str">
        <f t="shared" si="4"/>
        <v>2da Ordinaria - Cumplido</v>
      </c>
      <c r="M11" s="13"/>
      <c r="N11" s="13"/>
      <c r="O11" s="13"/>
      <c r="P11" s="13"/>
      <c r="Q11" s="13"/>
      <c r="R11" s="13"/>
      <c r="S11" s="13"/>
      <c r="T11" s="13"/>
      <c r="U11" s="13"/>
      <c r="V11" s="13"/>
      <c r="W11" s="13"/>
      <c r="X11" s="13"/>
      <c r="Y11" s="13"/>
      <c r="Z11" s="13"/>
    </row>
    <row r="12" ht="28.5" customHeight="1">
      <c r="A12" s="14">
        <v>11.0</v>
      </c>
      <c r="B12" s="14" t="s">
        <v>103</v>
      </c>
      <c r="C12" s="17" t="s">
        <v>104</v>
      </c>
      <c r="D12" s="14" t="s">
        <v>17</v>
      </c>
      <c r="E12" s="14" t="s">
        <v>105</v>
      </c>
      <c r="F12" s="14" t="s">
        <v>23</v>
      </c>
      <c r="G12" s="13" t="str">
        <f t="shared" si="1"/>
        <v>10</v>
      </c>
      <c r="H12" s="13" t="str">
        <f t="shared" si="2"/>
        <v>01</v>
      </c>
      <c r="I12" s="13" t="str">
        <f t="shared" si="3"/>
        <v>23</v>
      </c>
      <c r="J12" s="13" t="s">
        <v>99</v>
      </c>
      <c r="K12" s="13" t="s">
        <v>74</v>
      </c>
      <c r="L12" s="13" t="str">
        <f t="shared" si="4"/>
        <v>2da Ordinaria - Permanente</v>
      </c>
      <c r="M12" s="13"/>
      <c r="N12" s="13"/>
      <c r="O12" s="13"/>
      <c r="P12" s="13"/>
      <c r="Q12" s="13"/>
      <c r="R12" s="13"/>
      <c r="S12" s="13"/>
      <c r="T12" s="13"/>
      <c r="U12" s="13"/>
      <c r="V12" s="13"/>
      <c r="W12" s="13"/>
      <c r="X12" s="13"/>
      <c r="Y12" s="13"/>
      <c r="Z12" s="13"/>
    </row>
    <row r="13" ht="29.25" customHeight="1">
      <c r="A13" s="14">
        <v>12.0</v>
      </c>
      <c r="B13" s="14" t="s">
        <v>106</v>
      </c>
      <c r="C13" s="17" t="s">
        <v>107</v>
      </c>
      <c r="D13" s="14" t="s">
        <v>17</v>
      </c>
      <c r="E13" s="14" t="s">
        <v>105</v>
      </c>
      <c r="F13" s="14" t="s">
        <v>23</v>
      </c>
      <c r="G13" s="13" t="str">
        <f t="shared" si="1"/>
        <v>10</v>
      </c>
      <c r="H13" s="13" t="str">
        <f t="shared" si="2"/>
        <v>01</v>
      </c>
      <c r="I13" s="13" t="str">
        <f t="shared" si="3"/>
        <v>23</v>
      </c>
      <c r="J13" s="13" t="s">
        <v>99</v>
      </c>
      <c r="K13" s="13" t="s">
        <v>74</v>
      </c>
      <c r="L13" s="13" t="str">
        <f t="shared" si="4"/>
        <v>2da Ordinaria - Permanente</v>
      </c>
      <c r="M13" s="13"/>
      <c r="N13" s="13"/>
      <c r="O13" s="13"/>
      <c r="P13" s="13"/>
      <c r="Q13" s="13"/>
      <c r="R13" s="13"/>
      <c r="S13" s="13"/>
      <c r="T13" s="13"/>
      <c r="U13" s="13"/>
      <c r="V13" s="13"/>
      <c r="W13" s="13"/>
      <c r="X13" s="13"/>
      <c r="Y13" s="13"/>
      <c r="Z13" s="13"/>
    </row>
    <row r="14" ht="28.5" customHeight="1">
      <c r="A14" s="14">
        <v>13.0</v>
      </c>
      <c r="B14" s="14" t="s">
        <v>108</v>
      </c>
      <c r="C14" s="17" t="s">
        <v>109</v>
      </c>
      <c r="D14" s="14" t="s">
        <v>40</v>
      </c>
      <c r="E14" s="14" t="s">
        <v>110</v>
      </c>
      <c r="F14" s="14" t="s">
        <v>66</v>
      </c>
      <c r="G14" s="13" t="str">
        <f t="shared" si="1"/>
        <v>10</v>
      </c>
      <c r="H14" s="13" t="str">
        <f t="shared" si="2"/>
        <v>01</v>
      </c>
      <c r="I14" s="13" t="str">
        <f t="shared" si="3"/>
        <v>23</v>
      </c>
      <c r="J14" s="13" t="s">
        <v>99</v>
      </c>
      <c r="K14" s="13" t="s">
        <v>74</v>
      </c>
      <c r="L14" s="13" t="str">
        <f t="shared" si="4"/>
        <v>2da Ordinaria - Cumplido</v>
      </c>
      <c r="M14" s="13"/>
      <c r="N14" s="13"/>
      <c r="O14" s="13"/>
      <c r="P14" s="13"/>
      <c r="Q14" s="13"/>
      <c r="R14" s="13"/>
      <c r="S14" s="13"/>
      <c r="T14" s="13"/>
      <c r="U14" s="13"/>
      <c r="V14" s="13"/>
      <c r="W14" s="13"/>
      <c r="X14" s="13"/>
      <c r="Y14" s="13"/>
      <c r="Z14" s="13"/>
    </row>
    <row r="15" ht="15.75" customHeight="1">
      <c r="A15" s="17">
        <v>14.0</v>
      </c>
      <c r="B15" s="17" t="s">
        <v>111</v>
      </c>
      <c r="C15" s="17" t="s">
        <v>112</v>
      </c>
      <c r="D15" s="17" t="s">
        <v>71</v>
      </c>
      <c r="E15" s="17" t="s">
        <v>102</v>
      </c>
      <c r="F15" s="17" t="s">
        <v>66</v>
      </c>
      <c r="G15" s="13" t="str">
        <f t="shared" si="1"/>
        <v>10</v>
      </c>
      <c r="H15" s="13" t="str">
        <f t="shared" si="2"/>
        <v>01</v>
      </c>
      <c r="I15" s="13" t="str">
        <f t="shared" si="3"/>
        <v>23</v>
      </c>
      <c r="J15" s="13" t="s">
        <v>99</v>
      </c>
      <c r="K15" s="13" t="s">
        <v>74</v>
      </c>
      <c r="L15" s="13" t="str">
        <f t="shared" si="4"/>
        <v>2da Ordinaria - Cumplido</v>
      </c>
      <c r="M15" s="13"/>
      <c r="N15" s="13"/>
      <c r="O15" s="13"/>
      <c r="P15" s="13"/>
      <c r="Q15" s="13"/>
      <c r="R15" s="13"/>
      <c r="S15" s="13"/>
      <c r="T15" s="13"/>
      <c r="U15" s="13"/>
      <c r="V15" s="13"/>
      <c r="W15" s="13"/>
      <c r="X15" s="13"/>
      <c r="Y15" s="13"/>
      <c r="Z15" s="13"/>
    </row>
    <row r="16" ht="14.25" customHeight="1">
      <c r="A16" s="16">
        <v>15.0</v>
      </c>
      <c r="B16" s="16" t="s">
        <v>113</v>
      </c>
      <c r="C16" s="16" t="s">
        <v>114</v>
      </c>
      <c r="D16" s="16" t="s">
        <v>115</v>
      </c>
      <c r="E16" s="16" t="s">
        <v>102</v>
      </c>
      <c r="F16" s="16" t="s">
        <v>66</v>
      </c>
      <c r="G16" s="13" t="str">
        <f t="shared" si="1"/>
        <v>24</v>
      </c>
      <c r="H16" s="13" t="str">
        <f t="shared" si="2"/>
        <v>01</v>
      </c>
      <c r="I16" s="13" t="str">
        <f t="shared" si="3"/>
        <v>23</v>
      </c>
      <c r="J16" s="13" t="s">
        <v>116</v>
      </c>
      <c r="K16" s="13" t="s">
        <v>74</v>
      </c>
      <c r="L16" s="13" t="str">
        <f t="shared" si="4"/>
        <v>1ra Extraordinaria - Cumplido</v>
      </c>
      <c r="M16" s="13"/>
      <c r="N16" s="13"/>
      <c r="O16" s="13"/>
      <c r="P16" s="13"/>
      <c r="Q16" s="13"/>
      <c r="R16" s="13"/>
      <c r="S16" s="13"/>
      <c r="T16" s="13"/>
      <c r="U16" s="13"/>
      <c r="V16" s="13"/>
      <c r="W16" s="13"/>
      <c r="X16" s="13"/>
      <c r="Y16" s="13"/>
      <c r="Z16" s="13"/>
    </row>
    <row r="17" ht="29.25" customHeight="1">
      <c r="A17" s="15">
        <v>16.0</v>
      </c>
      <c r="B17" s="15" t="s">
        <v>117</v>
      </c>
      <c r="C17" s="16" t="s">
        <v>118</v>
      </c>
      <c r="D17" s="15" t="s">
        <v>71</v>
      </c>
      <c r="E17" s="15" t="s">
        <v>102</v>
      </c>
      <c r="F17" s="15" t="s">
        <v>66</v>
      </c>
      <c r="G17" s="13" t="str">
        <f t="shared" si="1"/>
        <v>24</v>
      </c>
      <c r="H17" s="13" t="str">
        <f t="shared" si="2"/>
        <v>01</v>
      </c>
      <c r="I17" s="13" t="str">
        <f t="shared" si="3"/>
        <v>23</v>
      </c>
      <c r="J17" s="13" t="s">
        <v>116</v>
      </c>
      <c r="K17" s="13" t="s">
        <v>74</v>
      </c>
      <c r="L17" s="13" t="str">
        <f t="shared" si="4"/>
        <v>1ra Extraordinaria - Cumplido</v>
      </c>
      <c r="M17" s="13"/>
      <c r="N17" s="13"/>
      <c r="O17" s="13"/>
      <c r="P17" s="13"/>
      <c r="Q17" s="13"/>
      <c r="R17" s="13"/>
      <c r="S17" s="13"/>
      <c r="T17" s="13"/>
      <c r="U17" s="13"/>
      <c r="V17" s="13"/>
      <c r="W17" s="13"/>
      <c r="X17" s="13"/>
      <c r="Y17" s="13"/>
      <c r="Z17" s="13"/>
    </row>
    <row r="18" ht="43.5" customHeight="1">
      <c r="A18" s="14">
        <v>17.0</v>
      </c>
      <c r="B18" s="14" t="s">
        <v>119</v>
      </c>
      <c r="C18" s="14" t="s">
        <v>120</v>
      </c>
      <c r="D18" s="14" t="s">
        <v>115</v>
      </c>
      <c r="E18" s="14" t="s">
        <v>121</v>
      </c>
      <c r="F18" s="14" t="s">
        <v>66</v>
      </c>
      <c r="G18" s="13" t="str">
        <f t="shared" si="1"/>
        <v>02</v>
      </c>
      <c r="H18" s="13" t="str">
        <f t="shared" si="2"/>
        <v>02</v>
      </c>
      <c r="I18" s="13" t="str">
        <f t="shared" si="3"/>
        <v>23</v>
      </c>
      <c r="J18" s="13" t="s">
        <v>122</v>
      </c>
      <c r="K18" s="13" t="s">
        <v>74</v>
      </c>
      <c r="L18" s="13" t="str">
        <f t="shared" si="4"/>
        <v>3ra Ordinaria  - Cumplido</v>
      </c>
      <c r="M18" s="13"/>
      <c r="N18" s="13"/>
      <c r="O18" s="13"/>
      <c r="P18" s="13"/>
      <c r="Q18" s="13"/>
      <c r="R18" s="13"/>
      <c r="S18" s="13"/>
      <c r="T18" s="13"/>
      <c r="U18" s="13"/>
      <c r="V18" s="13"/>
      <c r="W18" s="13"/>
      <c r="X18" s="13"/>
      <c r="Y18" s="13"/>
      <c r="Z18" s="13"/>
    </row>
    <row r="19" ht="28.5" customHeight="1">
      <c r="A19" s="14">
        <v>18.0</v>
      </c>
      <c r="B19" s="14" t="s">
        <v>123</v>
      </c>
      <c r="C19" s="17" t="s">
        <v>124</v>
      </c>
      <c r="D19" s="14" t="s">
        <v>17</v>
      </c>
      <c r="E19" s="14" t="s">
        <v>125</v>
      </c>
      <c r="F19" s="14" t="s">
        <v>126</v>
      </c>
      <c r="G19" s="13" t="str">
        <f t="shared" si="1"/>
        <v>02</v>
      </c>
      <c r="H19" s="13" t="str">
        <f t="shared" si="2"/>
        <v>02</v>
      </c>
      <c r="I19" s="13" t="str">
        <f t="shared" si="3"/>
        <v>23</v>
      </c>
      <c r="J19" s="13" t="s">
        <v>122</v>
      </c>
      <c r="K19" s="13" t="s">
        <v>74</v>
      </c>
      <c r="L19" s="13" t="str">
        <f t="shared" si="4"/>
        <v>3ra Ordinaria  - cumplido</v>
      </c>
      <c r="M19" s="13"/>
      <c r="N19" s="13"/>
      <c r="O19" s="13"/>
      <c r="P19" s="13"/>
      <c r="Q19" s="13"/>
      <c r="R19" s="13"/>
      <c r="S19" s="13"/>
      <c r="T19" s="13"/>
      <c r="U19" s="13"/>
      <c r="V19" s="13"/>
      <c r="W19" s="13"/>
      <c r="X19" s="13"/>
      <c r="Y19" s="13"/>
      <c r="Z19" s="13"/>
    </row>
    <row r="20" ht="43.5" customHeight="1">
      <c r="A20" s="14">
        <v>19.0</v>
      </c>
      <c r="B20" s="14" t="s">
        <v>127</v>
      </c>
      <c r="C20" s="17" t="s">
        <v>128</v>
      </c>
      <c r="D20" s="14" t="s">
        <v>17</v>
      </c>
      <c r="E20" s="14" t="s">
        <v>121</v>
      </c>
      <c r="F20" s="14" t="s">
        <v>126</v>
      </c>
      <c r="G20" s="13" t="str">
        <f t="shared" si="1"/>
        <v>02</v>
      </c>
      <c r="H20" s="13" t="str">
        <f t="shared" si="2"/>
        <v>02</v>
      </c>
      <c r="I20" s="13" t="str">
        <f t="shared" si="3"/>
        <v>23</v>
      </c>
      <c r="J20" s="13" t="s">
        <v>122</v>
      </c>
      <c r="K20" s="13" t="s">
        <v>74</v>
      </c>
      <c r="L20" s="13" t="str">
        <f t="shared" si="4"/>
        <v>3ra Ordinaria  - cumplido</v>
      </c>
      <c r="M20" s="13"/>
      <c r="N20" s="13"/>
      <c r="O20" s="13"/>
      <c r="P20" s="13"/>
      <c r="Q20" s="13"/>
      <c r="R20" s="13"/>
      <c r="S20" s="13"/>
      <c r="T20" s="13"/>
      <c r="U20" s="13"/>
      <c r="V20" s="13"/>
      <c r="W20" s="13"/>
      <c r="X20" s="13"/>
      <c r="Y20" s="13"/>
      <c r="Z20" s="13"/>
    </row>
    <row r="21" ht="28.5" customHeight="1">
      <c r="A21" s="14">
        <v>20.0</v>
      </c>
      <c r="B21" s="14" t="s">
        <v>129</v>
      </c>
      <c r="C21" s="17" t="s">
        <v>130</v>
      </c>
      <c r="D21" s="14" t="s">
        <v>17</v>
      </c>
      <c r="E21" s="14" t="s">
        <v>102</v>
      </c>
      <c r="F21" s="14" t="s">
        <v>126</v>
      </c>
      <c r="G21" s="13" t="str">
        <f t="shared" si="1"/>
        <v>02</v>
      </c>
      <c r="H21" s="13" t="str">
        <f t="shared" si="2"/>
        <v>02</v>
      </c>
      <c r="I21" s="13" t="str">
        <f t="shared" si="3"/>
        <v>23</v>
      </c>
      <c r="J21" s="13" t="s">
        <v>122</v>
      </c>
      <c r="K21" s="13" t="s">
        <v>74</v>
      </c>
      <c r="L21" s="13" t="str">
        <f t="shared" si="4"/>
        <v>3ra Ordinaria  - cumplido</v>
      </c>
      <c r="M21" s="13"/>
      <c r="N21" s="13"/>
      <c r="O21" s="13"/>
      <c r="P21" s="13"/>
      <c r="Q21" s="13"/>
      <c r="R21" s="13"/>
      <c r="S21" s="13"/>
      <c r="T21" s="13"/>
      <c r="U21" s="13"/>
      <c r="V21" s="13"/>
      <c r="W21" s="13"/>
      <c r="X21" s="13"/>
      <c r="Y21" s="13"/>
      <c r="Z21" s="13"/>
    </row>
    <row r="22" ht="43.5" customHeight="1">
      <c r="A22" s="14">
        <v>21.0</v>
      </c>
      <c r="B22" s="14" t="s">
        <v>131</v>
      </c>
      <c r="C22" s="17" t="s">
        <v>132</v>
      </c>
      <c r="D22" s="14" t="s">
        <v>71</v>
      </c>
      <c r="E22" s="14" t="s">
        <v>133</v>
      </c>
      <c r="F22" s="14" t="s">
        <v>66</v>
      </c>
      <c r="G22" s="13" t="str">
        <f t="shared" si="1"/>
        <v>02</v>
      </c>
      <c r="H22" s="13" t="str">
        <f t="shared" si="2"/>
        <v>02</v>
      </c>
      <c r="I22" s="13" t="str">
        <f t="shared" si="3"/>
        <v>23</v>
      </c>
      <c r="J22" s="13" t="s">
        <v>122</v>
      </c>
      <c r="K22" s="13" t="s">
        <v>74</v>
      </c>
      <c r="L22" s="13" t="str">
        <f t="shared" si="4"/>
        <v>3ra Ordinaria  - Cumplido</v>
      </c>
      <c r="M22" s="13"/>
      <c r="N22" s="13"/>
      <c r="O22" s="13"/>
      <c r="P22" s="13"/>
      <c r="Q22" s="13"/>
      <c r="R22" s="13"/>
      <c r="S22" s="13"/>
      <c r="T22" s="13"/>
      <c r="U22" s="13"/>
      <c r="V22" s="13"/>
      <c r="W22" s="13"/>
      <c r="X22" s="13"/>
      <c r="Y22" s="13"/>
      <c r="Z22" s="13"/>
    </row>
    <row r="23" ht="57.75" customHeight="1">
      <c r="A23" s="14">
        <v>22.0</v>
      </c>
      <c r="B23" s="14" t="s">
        <v>134</v>
      </c>
      <c r="C23" s="14" t="s">
        <v>135</v>
      </c>
      <c r="D23" s="14" t="s">
        <v>115</v>
      </c>
      <c r="E23" s="14" t="s">
        <v>133</v>
      </c>
      <c r="F23" s="14" t="s">
        <v>66</v>
      </c>
      <c r="G23" s="13" t="str">
        <f t="shared" si="1"/>
        <v>02</v>
      </c>
      <c r="H23" s="13" t="str">
        <f t="shared" si="2"/>
        <v>02</v>
      </c>
      <c r="I23" s="13" t="str">
        <f t="shared" si="3"/>
        <v>23</v>
      </c>
      <c r="J23" s="13" t="s">
        <v>122</v>
      </c>
      <c r="K23" s="13" t="s">
        <v>74</v>
      </c>
      <c r="L23" s="13" t="str">
        <f t="shared" si="4"/>
        <v>3ra Ordinaria  - Cumplido</v>
      </c>
      <c r="M23" s="13"/>
      <c r="N23" s="13"/>
      <c r="O23" s="13"/>
      <c r="P23" s="13"/>
      <c r="Q23" s="13"/>
      <c r="R23" s="13"/>
      <c r="S23" s="13"/>
      <c r="T23" s="13"/>
      <c r="U23" s="13"/>
      <c r="V23" s="13"/>
      <c r="W23" s="13"/>
      <c r="X23" s="13"/>
      <c r="Y23" s="13"/>
      <c r="Z23" s="13"/>
    </row>
    <row r="24" ht="29.25" customHeight="1">
      <c r="A24" s="14">
        <v>23.0</v>
      </c>
      <c r="B24" s="14" t="s">
        <v>136</v>
      </c>
      <c r="C24" s="14" t="s">
        <v>137</v>
      </c>
      <c r="D24" s="14" t="s">
        <v>17</v>
      </c>
      <c r="E24" s="14" t="s">
        <v>121</v>
      </c>
      <c r="F24" s="14" t="s">
        <v>66</v>
      </c>
      <c r="G24" s="13" t="str">
        <f t="shared" si="1"/>
        <v>02</v>
      </c>
      <c r="H24" s="13" t="str">
        <f t="shared" si="2"/>
        <v>02</v>
      </c>
      <c r="I24" s="13" t="str">
        <f t="shared" si="3"/>
        <v>23</v>
      </c>
      <c r="J24" s="13" t="s">
        <v>122</v>
      </c>
      <c r="K24" s="13" t="s">
        <v>74</v>
      </c>
      <c r="L24" s="13" t="str">
        <f t="shared" si="4"/>
        <v>3ra Ordinaria  - Cumplido</v>
      </c>
      <c r="M24" s="13"/>
      <c r="N24" s="13"/>
      <c r="O24" s="13"/>
      <c r="P24" s="13"/>
      <c r="Q24" s="13"/>
      <c r="R24" s="13"/>
      <c r="S24" s="13"/>
      <c r="T24" s="13"/>
      <c r="U24" s="13"/>
      <c r="V24" s="13"/>
      <c r="W24" s="13"/>
      <c r="X24" s="13"/>
      <c r="Y24" s="13"/>
      <c r="Z24" s="13"/>
    </row>
    <row r="25" ht="29.25" customHeight="1">
      <c r="A25" s="15">
        <v>24.0</v>
      </c>
      <c r="B25" s="15" t="s">
        <v>138</v>
      </c>
      <c r="C25" s="15" t="s">
        <v>139</v>
      </c>
      <c r="D25" s="15" t="s">
        <v>17</v>
      </c>
      <c r="E25" s="15" t="s">
        <v>125</v>
      </c>
      <c r="F25" s="15" t="s">
        <v>66</v>
      </c>
      <c r="G25" s="13" t="str">
        <f t="shared" si="1"/>
        <v>02</v>
      </c>
      <c r="H25" s="13" t="str">
        <f t="shared" si="2"/>
        <v>03</v>
      </c>
      <c r="I25" s="13" t="str">
        <f t="shared" si="3"/>
        <v>23</v>
      </c>
      <c r="J25" s="13" t="s">
        <v>140</v>
      </c>
      <c r="K25" s="13" t="s">
        <v>74</v>
      </c>
      <c r="L25" s="13" t="str">
        <f t="shared" si="4"/>
        <v>4ta Ordinaria - Cumplido</v>
      </c>
      <c r="M25" s="13"/>
      <c r="N25" s="13"/>
      <c r="O25" s="13"/>
      <c r="P25" s="13"/>
      <c r="Q25" s="13"/>
      <c r="R25" s="13"/>
      <c r="S25" s="13"/>
      <c r="T25" s="13"/>
      <c r="U25" s="13"/>
      <c r="V25" s="13"/>
      <c r="W25" s="13"/>
      <c r="X25" s="13"/>
      <c r="Y25" s="13"/>
      <c r="Z25" s="13"/>
    </row>
    <row r="26" ht="15.0" customHeight="1">
      <c r="A26" s="16">
        <v>25.0</v>
      </c>
      <c r="B26" s="16" t="s">
        <v>141</v>
      </c>
      <c r="C26" s="16" t="s">
        <v>142</v>
      </c>
      <c r="D26" s="16" t="s">
        <v>17</v>
      </c>
      <c r="E26" s="16" t="s">
        <v>143</v>
      </c>
      <c r="F26" s="16" t="s">
        <v>66</v>
      </c>
      <c r="G26" s="13" t="str">
        <f t="shared" si="1"/>
        <v>02</v>
      </c>
      <c r="H26" s="13" t="str">
        <f t="shared" si="2"/>
        <v>03</v>
      </c>
      <c r="I26" s="13" t="str">
        <f t="shared" si="3"/>
        <v>23</v>
      </c>
      <c r="J26" s="13" t="s">
        <v>140</v>
      </c>
      <c r="K26" s="13" t="s">
        <v>74</v>
      </c>
      <c r="L26" s="13" t="str">
        <f t="shared" si="4"/>
        <v>4ta Ordinaria - Cumplido</v>
      </c>
      <c r="M26" s="13"/>
      <c r="N26" s="13"/>
      <c r="O26" s="13"/>
      <c r="P26" s="13"/>
      <c r="Q26" s="13"/>
      <c r="R26" s="13"/>
      <c r="S26" s="13"/>
      <c r="T26" s="13"/>
      <c r="U26" s="13"/>
      <c r="V26" s="13"/>
      <c r="W26" s="13"/>
      <c r="X26" s="13"/>
      <c r="Y26" s="13"/>
      <c r="Z26" s="13"/>
    </row>
    <row r="27" ht="28.5" customHeight="1">
      <c r="A27" s="15">
        <v>26.0</v>
      </c>
      <c r="B27" s="15" t="s">
        <v>144</v>
      </c>
      <c r="C27" s="16" t="s">
        <v>145</v>
      </c>
      <c r="D27" s="15" t="s">
        <v>17</v>
      </c>
      <c r="E27" s="15" t="s">
        <v>143</v>
      </c>
      <c r="F27" s="15" t="s">
        <v>23</v>
      </c>
      <c r="G27" s="13" t="str">
        <f t="shared" si="1"/>
        <v>02</v>
      </c>
      <c r="H27" s="13" t="str">
        <f t="shared" si="2"/>
        <v>03</v>
      </c>
      <c r="I27" s="13" t="str">
        <f t="shared" si="3"/>
        <v>23</v>
      </c>
      <c r="J27" s="13" t="s">
        <v>140</v>
      </c>
      <c r="K27" s="13" t="s">
        <v>74</v>
      </c>
      <c r="L27" s="13" t="str">
        <f t="shared" si="4"/>
        <v>4ta Ordinaria - Permanente</v>
      </c>
      <c r="M27" s="13"/>
      <c r="N27" s="13"/>
      <c r="O27" s="13"/>
      <c r="P27" s="13"/>
      <c r="Q27" s="13"/>
      <c r="R27" s="13"/>
      <c r="S27" s="13"/>
      <c r="T27" s="13"/>
      <c r="U27" s="13"/>
      <c r="V27" s="13"/>
      <c r="W27" s="13"/>
      <c r="X27" s="13"/>
      <c r="Y27" s="13"/>
      <c r="Z27" s="13"/>
    </row>
    <row r="28" ht="14.25" customHeight="1">
      <c r="A28" s="16">
        <v>27.0</v>
      </c>
      <c r="B28" s="16" t="s">
        <v>146</v>
      </c>
      <c r="C28" s="16" t="s">
        <v>147</v>
      </c>
      <c r="D28" s="16" t="s">
        <v>115</v>
      </c>
      <c r="E28" s="16" t="s">
        <v>143</v>
      </c>
      <c r="F28" s="16" t="s">
        <v>23</v>
      </c>
      <c r="G28" s="13" t="str">
        <f t="shared" si="1"/>
        <v>02</v>
      </c>
      <c r="H28" s="13" t="str">
        <f t="shared" si="2"/>
        <v>03</v>
      </c>
      <c r="I28" s="13" t="str">
        <f t="shared" si="3"/>
        <v>23</v>
      </c>
      <c r="J28" s="13" t="s">
        <v>140</v>
      </c>
      <c r="K28" s="13" t="s">
        <v>74</v>
      </c>
      <c r="L28" s="13" t="str">
        <f t="shared" si="4"/>
        <v>4ta Ordinaria - Permanente</v>
      </c>
      <c r="M28" s="13"/>
      <c r="N28" s="13"/>
      <c r="O28" s="13"/>
      <c r="P28" s="13"/>
      <c r="Q28" s="13"/>
      <c r="R28" s="13"/>
      <c r="S28" s="13"/>
      <c r="T28" s="13"/>
      <c r="U28" s="13"/>
      <c r="V28" s="13"/>
      <c r="W28" s="13"/>
      <c r="X28" s="13"/>
      <c r="Y28" s="13"/>
      <c r="Z28" s="13"/>
    </row>
    <row r="29" ht="28.5" customHeight="1">
      <c r="A29" s="15">
        <v>28.0</v>
      </c>
      <c r="B29" s="15" t="s">
        <v>148</v>
      </c>
      <c r="C29" s="16" t="s">
        <v>149</v>
      </c>
      <c r="D29" s="15" t="s">
        <v>115</v>
      </c>
      <c r="E29" s="15" t="s">
        <v>121</v>
      </c>
      <c r="F29" s="15" t="s">
        <v>66</v>
      </c>
      <c r="G29" s="13" t="str">
        <f t="shared" si="1"/>
        <v>02</v>
      </c>
      <c r="H29" s="13" t="str">
        <f t="shared" si="2"/>
        <v>03</v>
      </c>
      <c r="I29" s="13" t="str">
        <f t="shared" si="3"/>
        <v>23</v>
      </c>
      <c r="J29" s="13" t="s">
        <v>140</v>
      </c>
      <c r="K29" s="13" t="s">
        <v>74</v>
      </c>
      <c r="L29" s="13" t="str">
        <f t="shared" si="4"/>
        <v>4ta Ordinaria - Cumplido</v>
      </c>
      <c r="M29" s="13"/>
      <c r="N29" s="13"/>
      <c r="O29" s="13"/>
      <c r="P29" s="13"/>
      <c r="Q29" s="13"/>
      <c r="R29" s="13"/>
      <c r="S29" s="13"/>
      <c r="T29" s="13"/>
      <c r="U29" s="13"/>
      <c r="V29" s="13"/>
      <c r="W29" s="13"/>
      <c r="X29" s="13"/>
      <c r="Y29" s="13"/>
      <c r="Z29" s="13"/>
    </row>
    <row r="30" ht="38.25" customHeight="1">
      <c r="A30" s="15">
        <v>29.0</v>
      </c>
      <c r="B30" s="15" t="s">
        <v>150</v>
      </c>
      <c r="C30" s="16" t="s">
        <v>151</v>
      </c>
      <c r="D30" s="15" t="s">
        <v>71</v>
      </c>
      <c r="E30" s="15" t="s">
        <v>121</v>
      </c>
      <c r="F30" s="15" t="s">
        <v>66</v>
      </c>
      <c r="G30" s="13" t="str">
        <f t="shared" si="1"/>
        <v>02</v>
      </c>
      <c r="H30" s="13" t="str">
        <f t="shared" si="2"/>
        <v>03</v>
      </c>
      <c r="I30" s="13" t="str">
        <f t="shared" si="3"/>
        <v>23</v>
      </c>
      <c r="J30" s="13" t="s">
        <v>140</v>
      </c>
      <c r="K30" s="13" t="s">
        <v>74</v>
      </c>
      <c r="L30" s="13" t="str">
        <f t="shared" si="4"/>
        <v>4ta Ordinaria - Cumplido</v>
      </c>
      <c r="M30" s="13"/>
      <c r="N30" s="13"/>
      <c r="O30" s="13"/>
      <c r="P30" s="13"/>
      <c r="Q30" s="13"/>
      <c r="R30" s="13"/>
      <c r="S30" s="13"/>
      <c r="T30" s="13"/>
      <c r="U30" s="13"/>
      <c r="V30" s="13"/>
      <c r="W30" s="13"/>
      <c r="X30" s="13"/>
      <c r="Y30" s="13"/>
      <c r="Z30" s="13"/>
    </row>
    <row r="31" ht="28.5" customHeight="1">
      <c r="A31" s="15">
        <v>30.0</v>
      </c>
      <c r="B31" s="15" t="s">
        <v>152</v>
      </c>
      <c r="C31" s="15" t="s">
        <v>153</v>
      </c>
      <c r="D31" s="15" t="s">
        <v>154</v>
      </c>
      <c r="E31" s="15" t="s">
        <v>155</v>
      </c>
      <c r="F31" s="15" t="s">
        <v>126</v>
      </c>
      <c r="G31" s="13" t="str">
        <f t="shared" si="1"/>
        <v>02</v>
      </c>
      <c r="H31" s="13" t="str">
        <f t="shared" si="2"/>
        <v>03</v>
      </c>
      <c r="I31" s="13" t="str">
        <f t="shared" si="3"/>
        <v>23</v>
      </c>
      <c r="J31" s="13" t="s">
        <v>140</v>
      </c>
      <c r="K31" s="13" t="s">
        <v>74</v>
      </c>
      <c r="L31" s="13" t="str">
        <f t="shared" si="4"/>
        <v>4ta Ordinaria - cumplido</v>
      </c>
      <c r="M31" s="13"/>
      <c r="N31" s="13"/>
      <c r="O31" s="13"/>
      <c r="P31" s="13"/>
      <c r="Q31" s="13"/>
      <c r="R31" s="13"/>
      <c r="S31" s="13"/>
      <c r="T31" s="13"/>
      <c r="U31" s="13"/>
      <c r="V31" s="13"/>
      <c r="W31" s="13"/>
      <c r="X31" s="13"/>
      <c r="Y31" s="13"/>
      <c r="Z31" s="13"/>
    </row>
    <row r="32" ht="14.25" customHeight="1">
      <c r="A32" s="16">
        <v>31.0</v>
      </c>
      <c r="B32" s="16" t="s">
        <v>156</v>
      </c>
      <c r="C32" s="16" t="s">
        <v>157</v>
      </c>
      <c r="D32" s="16" t="s">
        <v>115</v>
      </c>
      <c r="E32" s="16" t="s">
        <v>121</v>
      </c>
      <c r="F32" s="16" t="s">
        <v>66</v>
      </c>
      <c r="G32" s="13" t="str">
        <f t="shared" si="1"/>
        <v>02</v>
      </c>
      <c r="H32" s="13" t="str">
        <f t="shared" si="2"/>
        <v>03</v>
      </c>
      <c r="I32" s="13" t="str">
        <f t="shared" si="3"/>
        <v>23</v>
      </c>
      <c r="J32" s="13" t="s">
        <v>140</v>
      </c>
      <c r="K32" s="13" t="s">
        <v>74</v>
      </c>
      <c r="L32" s="13" t="str">
        <f t="shared" si="4"/>
        <v>4ta Ordinaria - Cumplido</v>
      </c>
      <c r="M32" s="13"/>
      <c r="N32" s="13"/>
      <c r="O32" s="13"/>
      <c r="P32" s="13"/>
      <c r="Q32" s="13"/>
      <c r="R32" s="13"/>
      <c r="S32" s="13"/>
      <c r="T32" s="13"/>
      <c r="U32" s="13"/>
      <c r="V32" s="13"/>
      <c r="W32" s="13"/>
      <c r="X32" s="13"/>
      <c r="Y32" s="13"/>
      <c r="Z32" s="13"/>
    </row>
    <row r="33" ht="34.5" customHeight="1">
      <c r="A33" s="14">
        <v>32.0</v>
      </c>
      <c r="B33" s="14" t="s">
        <v>158</v>
      </c>
      <c r="C33" s="17" t="s">
        <v>159</v>
      </c>
      <c r="D33" s="14" t="s">
        <v>17</v>
      </c>
      <c r="E33" s="14" t="s">
        <v>143</v>
      </c>
      <c r="F33" s="14" t="s">
        <v>23</v>
      </c>
      <c r="G33" s="13" t="str">
        <f t="shared" si="1"/>
        <v>04</v>
      </c>
      <c r="H33" s="13" t="str">
        <f t="shared" si="2"/>
        <v>04</v>
      </c>
      <c r="I33" s="13" t="str">
        <f t="shared" si="3"/>
        <v>23</v>
      </c>
      <c r="J33" s="13" t="s">
        <v>160</v>
      </c>
      <c r="K33" s="13" t="s">
        <v>74</v>
      </c>
      <c r="L33" s="13" t="str">
        <f t="shared" si="4"/>
        <v>5ta Ordinaria - Permanente</v>
      </c>
      <c r="M33" s="13"/>
      <c r="N33" s="13"/>
      <c r="O33" s="13"/>
      <c r="P33" s="13"/>
      <c r="Q33" s="13"/>
      <c r="R33" s="13"/>
      <c r="S33" s="13"/>
      <c r="T33" s="13"/>
      <c r="U33" s="13"/>
      <c r="V33" s="13"/>
      <c r="W33" s="13"/>
      <c r="X33" s="13"/>
      <c r="Y33" s="13"/>
      <c r="Z33" s="13"/>
    </row>
    <row r="34" ht="14.25" customHeight="1">
      <c r="A34" s="17">
        <v>33.0</v>
      </c>
      <c r="B34" s="17" t="s">
        <v>161</v>
      </c>
      <c r="C34" s="17" t="s">
        <v>162</v>
      </c>
      <c r="D34" s="17" t="s">
        <v>163</v>
      </c>
      <c r="E34" s="17" t="s">
        <v>164</v>
      </c>
      <c r="F34" s="17" t="s">
        <v>23</v>
      </c>
      <c r="G34" s="13" t="str">
        <f t="shared" si="1"/>
        <v>04</v>
      </c>
      <c r="H34" s="13" t="str">
        <f t="shared" si="2"/>
        <v>04</v>
      </c>
      <c r="I34" s="13" t="str">
        <f t="shared" si="3"/>
        <v>23</v>
      </c>
      <c r="J34" s="13" t="s">
        <v>160</v>
      </c>
      <c r="K34" s="13" t="s">
        <v>74</v>
      </c>
      <c r="L34" s="13" t="str">
        <f t="shared" si="4"/>
        <v>5ta Ordinaria - Permanente</v>
      </c>
      <c r="M34" s="13"/>
      <c r="N34" s="13"/>
      <c r="O34" s="13"/>
      <c r="P34" s="13"/>
      <c r="Q34" s="13"/>
      <c r="R34" s="13"/>
      <c r="S34" s="13"/>
      <c r="T34" s="13"/>
      <c r="U34" s="13"/>
      <c r="V34" s="13"/>
      <c r="W34" s="13"/>
      <c r="X34" s="13"/>
      <c r="Y34" s="13"/>
      <c r="Z34" s="13"/>
    </row>
    <row r="35" ht="48.0" customHeight="1">
      <c r="A35" s="14">
        <v>34.0</v>
      </c>
      <c r="B35" s="14" t="s">
        <v>165</v>
      </c>
      <c r="C35" s="14" t="s">
        <v>166</v>
      </c>
      <c r="D35" s="14" t="s">
        <v>163</v>
      </c>
      <c r="E35" s="14" t="s">
        <v>121</v>
      </c>
      <c r="F35" s="14" t="s">
        <v>23</v>
      </c>
      <c r="G35" s="13" t="str">
        <f t="shared" si="1"/>
        <v>04</v>
      </c>
      <c r="H35" s="13" t="str">
        <f t="shared" si="2"/>
        <v>04</v>
      </c>
      <c r="I35" s="13" t="str">
        <f t="shared" si="3"/>
        <v>23</v>
      </c>
      <c r="J35" s="13" t="s">
        <v>160</v>
      </c>
      <c r="K35" s="13" t="s">
        <v>74</v>
      </c>
      <c r="L35" s="13" t="str">
        <f t="shared" si="4"/>
        <v>5ta Ordinaria - Permanente</v>
      </c>
      <c r="M35" s="13"/>
      <c r="N35" s="13"/>
      <c r="O35" s="13"/>
      <c r="P35" s="13"/>
      <c r="Q35" s="13"/>
      <c r="R35" s="13"/>
      <c r="S35" s="13"/>
      <c r="T35" s="13"/>
      <c r="U35" s="13"/>
      <c r="V35" s="13"/>
      <c r="W35" s="13"/>
      <c r="X35" s="13"/>
      <c r="Y35" s="13"/>
      <c r="Z35" s="13"/>
    </row>
    <row r="36" ht="14.25" customHeight="1">
      <c r="A36" s="17">
        <v>35.0</v>
      </c>
      <c r="B36" s="17" t="s">
        <v>167</v>
      </c>
      <c r="C36" s="17" t="s">
        <v>168</v>
      </c>
      <c r="D36" s="17" t="s">
        <v>163</v>
      </c>
      <c r="E36" s="17" t="s">
        <v>121</v>
      </c>
      <c r="F36" s="17" t="s">
        <v>66</v>
      </c>
      <c r="G36" s="13" t="str">
        <f t="shared" si="1"/>
        <v>04</v>
      </c>
      <c r="H36" s="13" t="str">
        <f t="shared" si="2"/>
        <v>04</v>
      </c>
      <c r="I36" s="13" t="str">
        <f t="shared" si="3"/>
        <v>23</v>
      </c>
      <c r="J36" s="13" t="s">
        <v>160</v>
      </c>
      <c r="K36" s="13" t="s">
        <v>74</v>
      </c>
      <c r="L36" s="13" t="str">
        <f t="shared" si="4"/>
        <v>5ta Ordinaria - Cumplido</v>
      </c>
      <c r="M36" s="13"/>
      <c r="N36" s="13"/>
      <c r="O36" s="13"/>
      <c r="P36" s="13"/>
      <c r="Q36" s="13"/>
      <c r="R36" s="13"/>
      <c r="S36" s="13"/>
      <c r="T36" s="13"/>
      <c r="U36" s="13"/>
      <c r="V36" s="13"/>
      <c r="W36" s="13"/>
      <c r="X36" s="13"/>
      <c r="Y36" s="13"/>
      <c r="Z36" s="13"/>
    </row>
    <row r="37" ht="37.5" customHeight="1">
      <c r="A37" s="14">
        <v>36.0</v>
      </c>
      <c r="B37" s="14" t="s">
        <v>169</v>
      </c>
      <c r="C37" s="17" t="s">
        <v>170</v>
      </c>
      <c r="D37" s="14" t="s">
        <v>171</v>
      </c>
      <c r="E37" s="14" t="s">
        <v>164</v>
      </c>
      <c r="F37" s="14" t="s">
        <v>66</v>
      </c>
      <c r="G37" s="13" t="str">
        <f t="shared" si="1"/>
        <v>04</v>
      </c>
      <c r="H37" s="13" t="str">
        <f t="shared" si="2"/>
        <v>04</v>
      </c>
      <c r="I37" s="13" t="str">
        <f t="shared" si="3"/>
        <v>23</v>
      </c>
      <c r="J37" s="13" t="s">
        <v>160</v>
      </c>
      <c r="K37" s="13" t="s">
        <v>74</v>
      </c>
      <c r="L37" s="13" t="str">
        <f t="shared" si="4"/>
        <v>5ta Ordinaria - Cumplido</v>
      </c>
      <c r="M37" s="13"/>
      <c r="N37" s="13"/>
      <c r="O37" s="13"/>
      <c r="P37" s="13"/>
      <c r="Q37" s="13"/>
      <c r="R37" s="13"/>
      <c r="S37" s="13"/>
      <c r="T37" s="13"/>
      <c r="U37" s="13"/>
      <c r="V37" s="13"/>
      <c r="W37" s="13"/>
      <c r="X37" s="13"/>
      <c r="Y37" s="13"/>
      <c r="Z37" s="13"/>
    </row>
    <row r="38" ht="28.5" customHeight="1">
      <c r="A38" s="15">
        <v>37.0</v>
      </c>
      <c r="B38" s="15" t="s">
        <v>172</v>
      </c>
      <c r="C38" s="15" t="s">
        <v>173</v>
      </c>
      <c r="D38" s="15" t="s">
        <v>115</v>
      </c>
      <c r="E38" s="15" t="s">
        <v>174</v>
      </c>
      <c r="F38" s="15" t="s">
        <v>126</v>
      </c>
      <c r="G38" s="13" t="str">
        <f t="shared" si="1"/>
        <v>04</v>
      </c>
      <c r="H38" s="13" t="str">
        <f t="shared" si="2"/>
        <v>05</v>
      </c>
      <c r="I38" s="13" t="str">
        <f t="shared" si="3"/>
        <v>23</v>
      </c>
      <c r="J38" s="13" t="s">
        <v>175</v>
      </c>
      <c r="K38" s="13" t="s">
        <v>74</v>
      </c>
      <c r="L38" s="13" t="str">
        <f t="shared" si="4"/>
        <v>6ta Ordinaria - cumplido</v>
      </c>
      <c r="M38" s="13"/>
      <c r="N38" s="13"/>
      <c r="O38" s="13"/>
      <c r="P38" s="13"/>
      <c r="Q38" s="13"/>
      <c r="R38" s="13"/>
      <c r="S38" s="13"/>
      <c r="T38" s="13"/>
      <c r="U38" s="13"/>
      <c r="V38" s="13"/>
      <c r="W38" s="13"/>
      <c r="X38" s="13"/>
      <c r="Y38" s="13"/>
      <c r="Z38" s="13"/>
    </row>
    <row r="39" ht="14.25" customHeight="1">
      <c r="A39" s="16">
        <v>38.0</v>
      </c>
      <c r="B39" s="16" t="s">
        <v>176</v>
      </c>
      <c r="C39" s="16" t="s">
        <v>177</v>
      </c>
      <c r="D39" s="16" t="s">
        <v>163</v>
      </c>
      <c r="E39" s="16" t="s">
        <v>121</v>
      </c>
      <c r="F39" s="16" t="s">
        <v>126</v>
      </c>
      <c r="G39" s="13" t="str">
        <f t="shared" si="1"/>
        <v>04</v>
      </c>
      <c r="H39" s="13" t="str">
        <f t="shared" si="2"/>
        <v>05</v>
      </c>
      <c r="I39" s="13" t="str">
        <f t="shared" si="3"/>
        <v>23</v>
      </c>
      <c r="J39" s="13" t="s">
        <v>175</v>
      </c>
      <c r="K39" s="13" t="s">
        <v>74</v>
      </c>
      <c r="L39" s="13" t="str">
        <f t="shared" si="4"/>
        <v>6ta Ordinaria - cumplido</v>
      </c>
      <c r="M39" s="13"/>
      <c r="N39" s="13"/>
      <c r="O39" s="13"/>
      <c r="P39" s="13"/>
      <c r="Q39" s="13"/>
      <c r="R39" s="13"/>
      <c r="S39" s="13"/>
      <c r="T39" s="13"/>
      <c r="U39" s="13"/>
      <c r="V39" s="13"/>
      <c r="W39" s="13"/>
      <c r="X39" s="13"/>
      <c r="Y39" s="13"/>
      <c r="Z39" s="13"/>
    </row>
    <row r="40" ht="14.25" customHeight="1">
      <c r="A40" s="16">
        <v>39.0</v>
      </c>
      <c r="B40" s="16" t="s">
        <v>178</v>
      </c>
      <c r="C40" s="16" t="s">
        <v>179</v>
      </c>
      <c r="D40" s="16" t="s">
        <v>115</v>
      </c>
      <c r="E40" s="16" t="s">
        <v>121</v>
      </c>
      <c r="F40" s="16" t="s">
        <v>23</v>
      </c>
      <c r="G40" s="13" t="str">
        <f t="shared" si="1"/>
        <v>04</v>
      </c>
      <c r="H40" s="13" t="str">
        <f t="shared" si="2"/>
        <v>05</v>
      </c>
      <c r="I40" s="13" t="str">
        <f t="shared" si="3"/>
        <v>23</v>
      </c>
      <c r="J40" s="13" t="s">
        <v>175</v>
      </c>
      <c r="K40" s="13" t="s">
        <v>74</v>
      </c>
      <c r="L40" s="13" t="str">
        <f t="shared" si="4"/>
        <v>6ta Ordinaria - Permanente</v>
      </c>
      <c r="M40" s="13"/>
      <c r="N40" s="13"/>
      <c r="O40" s="13"/>
      <c r="P40" s="13"/>
      <c r="Q40" s="13"/>
      <c r="R40" s="13"/>
      <c r="S40" s="13"/>
      <c r="T40" s="13"/>
      <c r="U40" s="13"/>
      <c r="V40" s="13"/>
      <c r="W40" s="13"/>
      <c r="X40" s="13"/>
      <c r="Y40" s="13"/>
      <c r="Z40" s="13"/>
    </row>
    <row r="41" ht="28.5" customHeight="1">
      <c r="A41" s="15">
        <v>40.0</v>
      </c>
      <c r="B41" s="15" t="s">
        <v>180</v>
      </c>
      <c r="C41" s="16" t="s">
        <v>181</v>
      </c>
      <c r="D41" s="15" t="s">
        <v>163</v>
      </c>
      <c r="E41" s="15" t="s">
        <v>121</v>
      </c>
      <c r="F41" s="15" t="s">
        <v>23</v>
      </c>
      <c r="G41" s="13" t="str">
        <f t="shared" si="1"/>
        <v>04</v>
      </c>
      <c r="H41" s="13" t="str">
        <f t="shared" si="2"/>
        <v>05</v>
      </c>
      <c r="I41" s="13" t="str">
        <f t="shared" si="3"/>
        <v>23</v>
      </c>
      <c r="J41" s="13" t="s">
        <v>175</v>
      </c>
      <c r="K41" s="13" t="s">
        <v>74</v>
      </c>
      <c r="L41" s="13" t="str">
        <f t="shared" si="4"/>
        <v>6ta Ordinaria - Permanente</v>
      </c>
      <c r="M41" s="13"/>
      <c r="N41" s="13"/>
      <c r="O41" s="13"/>
      <c r="P41" s="13"/>
      <c r="Q41" s="13"/>
      <c r="R41" s="13"/>
      <c r="S41" s="13"/>
      <c r="T41" s="13"/>
      <c r="U41" s="13"/>
      <c r="V41" s="13"/>
      <c r="W41" s="13"/>
      <c r="X41" s="13"/>
      <c r="Y41" s="13"/>
      <c r="Z41" s="13"/>
    </row>
    <row r="42" ht="15.0" customHeight="1">
      <c r="A42" s="16">
        <v>41.0</v>
      </c>
      <c r="B42" s="16" t="s">
        <v>182</v>
      </c>
      <c r="C42" s="16" t="s">
        <v>183</v>
      </c>
      <c r="D42" s="16" t="s">
        <v>115</v>
      </c>
      <c r="E42" s="16" t="s">
        <v>184</v>
      </c>
      <c r="F42" s="16" t="s">
        <v>66</v>
      </c>
      <c r="G42" s="13" t="str">
        <f t="shared" si="1"/>
        <v>04</v>
      </c>
      <c r="H42" s="13" t="str">
        <f t="shared" si="2"/>
        <v>05</v>
      </c>
      <c r="I42" s="13" t="str">
        <f t="shared" si="3"/>
        <v>23</v>
      </c>
      <c r="J42" s="13" t="s">
        <v>175</v>
      </c>
      <c r="K42" s="13" t="s">
        <v>74</v>
      </c>
      <c r="L42" s="13" t="str">
        <f t="shared" si="4"/>
        <v>6ta Ordinaria - Cumplido</v>
      </c>
      <c r="M42" s="13"/>
      <c r="N42" s="13"/>
      <c r="O42" s="13"/>
      <c r="P42" s="13"/>
      <c r="Q42" s="13"/>
      <c r="R42" s="13"/>
      <c r="S42" s="13"/>
      <c r="T42" s="13"/>
      <c r="U42" s="13"/>
      <c r="V42" s="13"/>
      <c r="W42" s="13"/>
      <c r="X42" s="13"/>
      <c r="Y42" s="13"/>
      <c r="Z42" s="13"/>
    </row>
    <row r="43" ht="14.25" customHeight="1">
      <c r="A43" s="17">
        <v>42.0</v>
      </c>
      <c r="B43" s="17" t="s">
        <v>185</v>
      </c>
      <c r="C43" s="17" t="s">
        <v>186</v>
      </c>
      <c r="D43" s="17" t="s">
        <v>187</v>
      </c>
      <c r="E43" s="17" t="s">
        <v>188</v>
      </c>
      <c r="F43" s="17" t="s">
        <v>66</v>
      </c>
      <c r="G43" s="13" t="str">
        <f t="shared" si="1"/>
        <v>06</v>
      </c>
      <c r="H43" s="13" t="str">
        <f t="shared" si="2"/>
        <v>07</v>
      </c>
      <c r="I43" s="13" t="str">
        <f t="shared" si="3"/>
        <v>23</v>
      </c>
      <c r="J43" s="13" t="s">
        <v>189</v>
      </c>
      <c r="K43" s="13" t="s">
        <v>74</v>
      </c>
      <c r="L43" s="13" t="str">
        <f t="shared" si="4"/>
        <v>8va Ordinaria - Cumplido</v>
      </c>
      <c r="M43" s="13"/>
      <c r="N43" s="18" t="s">
        <v>190</v>
      </c>
      <c r="O43" s="13"/>
      <c r="P43" s="13"/>
      <c r="Q43" s="13"/>
      <c r="R43" s="13"/>
      <c r="S43" s="13"/>
      <c r="T43" s="13"/>
      <c r="U43" s="13"/>
      <c r="V43" s="13"/>
      <c r="W43" s="13"/>
      <c r="X43" s="13"/>
      <c r="Y43" s="13"/>
      <c r="Z43" s="13"/>
    </row>
    <row r="44" ht="43.5" customHeight="1">
      <c r="A44" s="14">
        <v>43.0</v>
      </c>
      <c r="B44" s="14" t="s">
        <v>191</v>
      </c>
      <c r="C44" s="17" t="s">
        <v>192</v>
      </c>
      <c r="D44" s="14" t="s">
        <v>187</v>
      </c>
      <c r="E44" s="14" t="s">
        <v>188</v>
      </c>
      <c r="F44" s="14" t="s">
        <v>66</v>
      </c>
      <c r="G44" s="13" t="str">
        <f t="shared" si="1"/>
        <v>06</v>
      </c>
      <c r="H44" s="13" t="str">
        <f t="shared" si="2"/>
        <v>07</v>
      </c>
      <c r="I44" s="13" t="str">
        <f t="shared" si="3"/>
        <v>23</v>
      </c>
      <c r="J44" s="13" t="s">
        <v>189</v>
      </c>
      <c r="K44" s="13" t="s">
        <v>74</v>
      </c>
      <c r="L44" s="13" t="str">
        <f t="shared" si="4"/>
        <v>8va Ordinaria - Cumplido</v>
      </c>
      <c r="M44" s="13"/>
      <c r="N44" s="13"/>
      <c r="O44" s="13"/>
      <c r="P44" s="13"/>
      <c r="Q44" s="13"/>
      <c r="R44" s="13"/>
      <c r="S44" s="13"/>
      <c r="T44" s="13"/>
      <c r="U44" s="13"/>
      <c r="V44" s="13"/>
      <c r="W44" s="13"/>
      <c r="X44" s="13"/>
      <c r="Y44" s="13"/>
      <c r="Z44" s="13"/>
    </row>
    <row r="45" ht="14.25" customHeight="1">
      <c r="A45" s="17">
        <v>44.0</v>
      </c>
      <c r="B45" s="17" t="s">
        <v>193</v>
      </c>
      <c r="C45" s="17" t="s">
        <v>194</v>
      </c>
      <c r="D45" s="17" t="s">
        <v>115</v>
      </c>
      <c r="E45" s="17" t="s">
        <v>195</v>
      </c>
      <c r="F45" s="17" t="s">
        <v>126</v>
      </c>
      <c r="G45" s="13" t="str">
        <f t="shared" si="1"/>
        <v>06</v>
      </c>
      <c r="H45" s="13" t="str">
        <f t="shared" si="2"/>
        <v>07</v>
      </c>
      <c r="I45" s="13" t="str">
        <f t="shared" si="3"/>
        <v>23</v>
      </c>
      <c r="J45" s="13" t="s">
        <v>189</v>
      </c>
      <c r="K45" s="13" t="s">
        <v>74</v>
      </c>
      <c r="L45" s="13" t="str">
        <f t="shared" si="4"/>
        <v>8va Ordinaria - cumplido</v>
      </c>
      <c r="M45" s="13"/>
      <c r="N45" s="13"/>
      <c r="O45" s="13"/>
      <c r="P45" s="13"/>
      <c r="Q45" s="13"/>
      <c r="R45" s="13"/>
      <c r="S45" s="13"/>
      <c r="T45" s="13"/>
      <c r="U45" s="13"/>
      <c r="V45" s="13"/>
      <c r="W45" s="13"/>
      <c r="X45" s="13"/>
      <c r="Y45" s="13"/>
      <c r="Z45" s="13"/>
    </row>
    <row r="46" ht="29.25" customHeight="1">
      <c r="A46" s="14">
        <v>45.0</v>
      </c>
      <c r="B46" s="14" t="s">
        <v>196</v>
      </c>
      <c r="C46" s="17" t="s">
        <v>197</v>
      </c>
      <c r="D46" s="14" t="s">
        <v>115</v>
      </c>
      <c r="E46" s="14" t="s">
        <v>198</v>
      </c>
      <c r="F46" s="14" t="s">
        <v>66</v>
      </c>
      <c r="G46" s="13" t="str">
        <f t="shared" si="1"/>
        <v>06</v>
      </c>
      <c r="H46" s="13" t="str">
        <f t="shared" si="2"/>
        <v>07</v>
      </c>
      <c r="I46" s="13" t="str">
        <f t="shared" si="3"/>
        <v>23</v>
      </c>
      <c r="J46" s="13" t="s">
        <v>189</v>
      </c>
      <c r="K46" s="13" t="s">
        <v>74</v>
      </c>
      <c r="L46" s="13" t="str">
        <f t="shared" si="4"/>
        <v>8va Ordinaria - Cumplido</v>
      </c>
      <c r="M46" s="13"/>
      <c r="N46" s="13"/>
      <c r="O46" s="13"/>
      <c r="P46" s="13"/>
      <c r="Q46" s="13"/>
      <c r="R46" s="13"/>
      <c r="S46" s="13"/>
      <c r="T46" s="13"/>
      <c r="U46" s="13"/>
      <c r="V46" s="13"/>
      <c r="W46" s="13"/>
      <c r="X46" s="13"/>
      <c r="Y46" s="13"/>
      <c r="Z46" s="13"/>
    </row>
    <row r="47" ht="28.5" customHeight="1">
      <c r="A47" s="15">
        <v>46.0</v>
      </c>
      <c r="B47" s="15" t="s">
        <v>199</v>
      </c>
      <c r="C47" s="15" t="s">
        <v>200</v>
      </c>
      <c r="D47" s="15" t="s">
        <v>163</v>
      </c>
      <c r="E47" s="15" t="s">
        <v>143</v>
      </c>
      <c r="F47" s="15" t="s">
        <v>126</v>
      </c>
      <c r="G47" s="13" t="str">
        <f t="shared" si="1"/>
        <v>03</v>
      </c>
      <c r="H47" s="13" t="str">
        <f t="shared" si="2"/>
        <v>08</v>
      </c>
      <c r="I47" s="13" t="str">
        <f t="shared" si="3"/>
        <v>23</v>
      </c>
      <c r="J47" s="13" t="s">
        <v>201</v>
      </c>
      <c r="K47" s="13" t="s">
        <v>74</v>
      </c>
      <c r="L47" s="13" t="str">
        <f t="shared" si="4"/>
        <v>9na Ordinaria - cumplido</v>
      </c>
      <c r="M47" s="13"/>
      <c r="N47" s="13"/>
      <c r="O47" s="13"/>
      <c r="P47" s="13"/>
      <c r="Q47" s="13"/>
      <c r="R47" s="13"/>
      <c r="S47" s="13"/>
      <c r="T47" s="13"/>
      <c r="U47" s="13"/>
      <c r="V47" s="13"/>
      <c r="W47" s="13"/>
      <c r="X47" s="13"/>
      <c r="Y47" s="13"/>
      <c r="Z47" s="13"/>
    </row>
    <row r="48" ht="29.25" customHeight="1">
      <c r="A48" s="15">
        <v>47.0</v>
      </c>
      <c r="B48" s="15" t="s">
        <v>202</v>
      </c>
      <c r="C48" s="15" t="s">
        <v>203</v>
      </c>
      <c r="D48" s="15" t="s">
        <v>204</v>
      </c>
      <c r="E48" s="15" t="s">
        <v>205</v>
      </c>
      <c r="F48" s="15" t="s">
        <v>126</v>
      </c>
      <c r="G48" s="13" t="str">
        <f t="shared" si="1"/>
        <v>03</v>
      </c>
      <c r="H48" s="13" t="str">
        <f t="shared" si="2"/>
        <v>08</v>
      </c>
      <c r="I48" s="13" t="str">
        <f t="shared" si="3"/>
        <v>23</v>
      </c>
      <c r="J48" s="13" t="s">
        <v>201</v>
      </c>
      <c r="K48" s="13" t="s">
        <v>74</v>
      </c>
      <c r="L48" s="13" t="str">
        <f t="shared" si="4"/>
        <v>9na Ordinaria - cumplido</v>
      </c>
      <c r="M48" s="13"/>
      <c r="N48" s="13"/>
      <c r="O48" s="13"/>
      <c r="P48" s="13"/>
      <c r="Q48" s="13"/>
      <c r="R48" s="13"/>
      <c r="S48" s="13"/>
      <c r="T48" s="13"/>
      <c r="U48" s="13"/>
      <c r="V48" s="13"/>
      <c r="W48" s="13"/>
      <c r="X48" s="13"/>
      <c r="Y48" s="13"/>
      <c r="Z48" s="13"/>
    </row>
    <row r="49" ht="14.25" customHeight="1">
      <c r="A49" s="16">
        <v>48.0</v>
      </c>
      <c r="B49" s="16" t="s">
        <v>206</v>
      </c>
      <c r="C49" s="16" t="s">
        <v>207</v>
      </c>
      <c r="D49" s="16" t="s">
        <v>163</v>
      </c>
      <c r="E49" s="16" t="s">
        <v>143</v>
      </c>
      <c r="F49" s="16" t="s">
        <v>126</v>
      </c>
      <c r="G49" s="13" t="str">
        <f t="shared" si="1"/>
        <v>03</v>
      </c>
      <c r="H49" s="13" t="str">
        <f t="shared" si="2"/>
        <v>08</v>
      </c>
      <c r="I49" s="13" t="str">
        <f t="shared" si="3"/>
        <v>23</v>
      </c>
      <c r="J49" s="13" t="s">
        <v>201</v>
      </c>
      <c r="K49" s="13" t="s">
        <v>74</v>
      </c>
      <c r="L49" s="13" t="str">
        <f t="shared" si="4"/>
        <v>9na Ordinaria - cumplido</v>
      </c>
      <c r="M49" s="13"/>
      <c r="N49" s="13"/>
      <c r="O49" s="13"/>
      <c r="P49" s="13"/>
      <c r="Q49" s="13"/>
      <c r="R49" s="13"/>
      <c r="S49" s="13"/>
      <c r="T49" s="13"/>
      <c r="U49" s="13"/>
      <c r="V49" s="13"/>
      <c r="W49" s="13"/>
      <c r="X49" s="13"/>
      <c r="Y49" s="13"/>
      <c r="Z49" s="13"/>
    </row>
    <row r="50" ht="14.25" customHeight="1">
      <c r="A50" s="17">
        <v>49.0</v>
      </c>
      <c r="B50" s="17" t="s">
        <v>208</v>
      </c>
      <c r="C50" s="17" t="s">
        <v>209</v>
      </c>
      <c r="D50" s="17" t="s">
        <v>163</v>
      </c>
      <c r="E50" s="17" t="s">
        <v>210</v>
      </c>
      <c r="F50" s="17" t="s">
        <v>66</v>
      </c>
      <c r="G50" s="13" t="str">
        <f t="shared" si="1"/>
        <v>11</v>
      </c>
      <c r="H50" s="13" t="str">
        <f t="shared" si="2"/>
        <v>09</v>
      </c>
      <c r="I50" s="13" t="str">
        <f t="shared" si="3"/>
        <v>23</v>
      </c>
      <c r="J50" s="13" t="s">
        <v>211</v>
      </c>
      <c r="K50" s="13" t="s">
        <v>74</v>
      </c>
      <c r="L50" s="13" t="str">
        <f t="shared" si="4"/>
        <v>10ma Ordinaria - Cumplido</v>
      </c>
      <c r="M50" s="13"/>
      <c r="N50" s="13"/>
      <c r="O50" s="13"/>
      <c r="P50" s="13"/>
      <c r="Q50" s="13"/>
      <c r="R50" s="13"/>
      <c r="S50" s="13"/>
      <c r="T50" s="13"/>
      <c r="U50" s="13"/>
      <c r="V50" s="13"/>
      <c r="W50" s="13"/>
      <c r="X50" s="13"/>
      <c r="Y50" s="13"/>
      <c r="Z50" s="13"/>
    </row>
    <row r="51" ht="14.25" customHeight="1">
      <c r="A51" s="17">
        <v>50.0</v>
      </c>
      <c r="B51" s="17" t="s">
        <v>212</v>
      </c>
      <c r="C51" s="17" t="s">
        <v>213</v>
      </c>
      <c r="D51" s="17" t="s">
        <v>17</v>
      </c>
      <c r="E51" s="17" t="s">
        <v>210</v>
      </c>
      <c r="F51" s="17" t="s">
        <v>126</v>
      </c>
      <c r="G51" s="13" t="str">
        <f t="shared" si="1"/>
        <v>11</v>
      </c>
      <c r="H51" s="13" t="str">
        <f t="shared" si="2"/>
        <v>09</v>
      </c>
      <c r="I51" s="13" t="str">
        <f t="shared" si="3"/>
        <v>23</v>
      </c>
      <c r="J51" s="13" t="s">
        <v>211</v>
      </c>
      <c r="K51" s="13" t="s">
        <v>74</v>
      </c>
      <c r="L51" s="13" t="str">
        <f t="shared" si="4"/>
        <v>10ma Ordinaria - cumplido</v>
      </c>
      <c r="M51" s="13"/>
      <c r="N51" s="13"/>
      <c r="O51" s="13"/>
      <c r="P51" s="13"/>
      <c r="Q51" s="13"/>
      <c r="R51" s="13"/>
      <c r="S51" s="13"/>
      <c r="T51" s="13"/>
      <c r="U51" s="13"/>
      <c r="V51" s="13"/>
      <c r="W51" s="13"/>
      <c r="X51" s="13"/>
      <c r="Y51" s="13"/>
      <c r="Z51" s="13"/>
    </row>
    <row r="52" ht="14.25" customHeight="1">
      <c r="A52" s="17">
        <v>51.0</v>
      </c>
      <c r="B52" s="17" t="s">
        <v>214</v>
      </c>
      <c r="C52" s="17" t="s">
        <v>215</v>
      </c>
      <c r="D52" s="17" t="s">
        <v>163</v>
      </c>
      <c r="E52" s="17" t="s">
        <v>210</v>
      </c>
      <c r="F52" s="17" t="s">
        <v>126</v>
      </c>
      <c r="G52" s="13" t="str">
        <f t="shared" si="1"/>
        <v>11</v>
      </c>
      <c r="H52" s="13" t="str">
        <f t="shared" si="2"/>
        <v>09</v>
      </c>
      <c r="I52" s="13" t="str">
        <f t="shared" si="3"/>
        <v>23</v>
      </c>
      <c r="J52" s="13" t="s">
        <v>211</v>
      </c>
      <c r="K52" s="13" t="s">
        <v>74</v>
      </c>
      <c r="L52" s="13" t="str">
        <f t="shared" si="4"/>
        <v>10ma Ordinaria - cumplido</v>
      </c>
      <c r="M52" s="13"/>
      <c r="N52" s="13"/>
      <c r="O52" s="13"/>
      <c r="P52" s="13"/>
      <c r="Q52" s="13"/>
      <c r="R52" s="13"/>
      <c r="S52" s="13"/>
      <c r="T52" s="13"/>
      <c r="U52" s="13"/>
      <c r="V52" s="13"/>
      <c r="W52" s="13"/>
      <c r="X52" s="13"/>
      <c r="Y52" s="13"/>
      <c r="Z52" s="13"/>
    </row>
    <row r="53" ht="14.25" customHeight="1">
      <c r="A53" s="17">
        <v>52.0</v>
      </c>
      <c r="B53" s="17" t="s">
        <v>216</v>
      </c>
      <c r="C53" s="17" t="s">
        <v>217</v>
      </c>
      <c r="D53" s="17" t="s">
        <v>17</v>
      </c>
      <c r="E53" s="17" t="s">
        <v>210</v>
      </c>
      <c r="F53" s="17" t="s">
        <v>126</v>
      </c>
      <c r="G53" s="13" t="str">
        <f t="shared" si="1"/>
        <v>11</v>
      </c>
      <c r="H53" s="13" t="str">
        <f t="shared" si="2"/>
        <v>09</v>
      </c>
      <c r="I53" s="13" t="str">
        <f t="shared" si="3"/>
        <v>23</v>
      </c>
      <c r="J53" s="13" t="s">
        <v>211</v>
      </c>
      <c r="K53" s="13" t="s">
        <v>74</v>
      </c>
      <c r="L53" s="13" t="str">
        <f t="shared" si="4"/>
        <v>10ma Ordinaria - cumplido</v>
      </c>
      <c r="M53" s="13"/>
      <c r="N53" s="13"/>
      <c r="O53" s="13"/>
      <c r="P53" s="13"/>
      <c r="Q53" s="13"/>
      <c r="R53" s="13"/>
      <c r="S53" s="13"/>
      <c r="T53" s="13"/>
      <c r="U53" s="13"/>
      <c r="V53" s="13"/>
      <c r="W53" s="13"/>
      <c r="X53" s="13"/>
      <c r="Y53" s="13"/>
      <c r="Z53" s="13"/>
    </row>
    <row r="54" ht="28.5" customHeight="1">
      <c r="A54" s="15">
        <v>53.0</v>
      </c>
      <c r="B54" s="15" t="s">
        <v>218</v>
      </c>
      <c r="C54" s="16" t="s">
        <v>219</v>
      </c>
      <c r="D54" s="15" t="s">
        <v>163</v>
      </c>
      <c r="E54" s="15" t="s">
        <v>220</v>
      </c>
      <c r="F54" s="15" t="s">
        <v>126</v>
      </c>
      <c r="G54" s="13" t="str">
        <f t="shared" si="1"/>
        <v>05</v>
      </c>
      <c r="H54" s="13" t="str">
        <f t="shared" si="2"/>
        <v>10</v>
      </c>
      <c r="I54" s="13" t="str">
        <f t="shared" si="3"/>
        <v>23</v>
      </c>
      <c r="J54" s="13" t="s">
        <v>221</v>
      </c>
      <c r="K54" s="13" t="s">
        <v>74</v>
      </c>
      <c r="L54" s="13" t="str">
        <f t="shared" si="4"/>
        <v>11va Ordinaria - cumplido</v>
      </c>
      <c r="M54" s="13"/>
      <c r="N54" s="13"/>
      <c r="O54" s="13"/>
      <c r="P54" s="13"/>
      <c r="Q54" s="13"/>
      <c r="R54" s="13"/>
      <c r="S54" s="13"/>
      <c r="T54" s="13"/>
      <c r="U54" s="13"/>
      <c r="V54" s="13"/>
      <c r="W54" s="13"/>
      <c r="X54" s="13"/>
      <c r="Y54" s="13"/>
      <c r="Z54" s="13"/>
    </row>
    <row r="55" ht="28.5" customHeight="1">
      <c r="A55" s="15">
        <v>54.0</v>
      </c>
      <c r="B55" s="15" t="s">
        <v>222</v>
      </c>
      <c r="C55" s="16" t="s">
        <v>223</v>
      </c>
      <c r="D55" s="15" t="s">
        <v>163</v>
      </c>
      <c r="E55" s="15" t="s">
        <v>220</v>
      </c>
      <c r="F55" s="15" t="s">
        <v>66</v>
      </c>
      <c r="G55" s="13" t="str">
        <f t="shared" si="1"/>
        <v>05</v>
      </c>
      <c r="H55" s="13" t="str">
        <f t="shared" si="2"/>
        <v>10</v>
      </c>
      <c r="I55" s="13" t="str">
        <f t="shared" si="3"/>
        <v>23</v>
      </c>
      <c r="J55" s="13" t="s">
        <v>221</v>
      </c>
      <c r="K55" s="13" t="s">
        <v>74</v>
      </c>
      <c r="L55" s="13" t="str">
        <f t="shared" si="4"/>
        <v>11va Ordinaria - Cumplido</v>
      </c>
      <c r="M55" s="13"/>
      <c r="N55" s="13"/>
      <c r="O55" s="13"/>
      <c r="P55" s="13"/>
      <c r="Q55" s="13"/>
      <c r="R55" s="13"/>
      <c r="S55" s="13"/>
      <c r="T55" s="13"/>
      <c r="U55" s="13"/>
      <c r="V55" s="13"/>
      <c r="W55" s="13"/>
      <c r="X55" s="13"/>
      <c r="Y55" s="13"/>
      <c r="Z55" s="13"/>
    </row>
    <row r="56" ht="29.25" customHeight="1">
      <c r="A56" s="14">
        <v>55.0</v>
      </c>
      <c r="B56" s="14" t="s">
        <v>224</v>
      </c>
      <c r="C56" s="17" t="s">
        <v>225</v>
      </c>
      <c r="D56" s="14" t="s">
        <v>17</v>
      </c>
      <c r="E56" s="14" t="s">
        <v>226</v>
      </c>
      <c r="F56" s="14" t="s">
        <v>126</v>
      </c>
      <c r="G56" s="13" t="str">
        <f t="shared" si="1"/>
        <v>06</v>
      </c>
      <c r="H56" s="13" t="str">
        <f t="shared" si="2"/>
        <v>11</v>
      </c>
      <c r="I56" s="13" t="str">
        <f t="shared" si="3"/>
        <v>23</v>
      </c>
      <c r="J56" s="13" t="s">
        <v>227</v>
      </c>
      <c r="K56" s="13" t="s">
        <v>74</v>
      </c>
      <c r="L56" s="13" t="str">
        <f t="shared" si="4"/>
        <v>12va Ordinaria - cumplido</v>
      </c>
      <c r="M56" s="13"/>
      <c r="N56" s="13"/>
      <c r="O56" s="13"/>
      <c r="P56" s="13"/>
      <c r="Q56" s="13"/>
      <c r="R56" s="13"/>
      <c r="S56" s="13"/>
      <c r="T56" s="13"/>
      <c r="U56" s="13"/>
      <c r="V56" s="13"/>
      <c r="W56" s="13"/>
      <c r="X56" s="13"/>
      <c r="Y56" s="13"/>
      <c r="Z56" s="13"/>
    </row>
    <row r="57" ht="29.25" customHeight="1">
      <c r="A57" s="14">
        <v>56.0</v>
      </c>
      <c r="B57" s="14" t="s">
        <v>228</v>
      </c>
      <c r="C57" s="14" t="s">
        <v>229</v>
      </c>
      <c r="D57" s="14" t="s">
        <v>163</v>
      </c>
      <c r="E57" s="14" t="s">
        <v>230</v>
      </c>
      <c r="F57" s="14" t="s">
        <v>66</v>
      </c>
      <c r="G57" s="13" t="str">
        <f t="shared" si="1"/>
        <v>06</v>
      </c>
      <c r="H57" s="13" t="str">
        <f t="shared" si="2"/>
        <v>11</v>
      </c>
      <c r="I57" s="13" t="str">
        <f t="shared" si="3"/>
        <v>23</v>
      </c>
      <c r="J57" s="13" t="s">
        <v>227</v>
      </c>
      <c r="K57" s="13" t="s">
        <v>74</v>
      </c>
      <c r="L57" s="13" t="str">
        <f t="shared" si="4"/>
        <v>12va Ordinaria - Cumplido</v>
      </c>
      <c r="M57" s="13"/>
      <c r="N57" s="13"/>
      <c r="O57" s="13"/>
      <c r="P57" s="13"/>
      <c r="Q57" s="13"/>
      <c r="R57" s="13"/>
      <c r="S57" s="13"/>
      <c r="T57" s="13"/>
      <c r="U57" s="13"/>
      <c r="V57" s="13"/>
      <c r="W57" s="13"/>
      <c r="X57" s="13"/>
      <c r="Y57" s="13"/>
      <c r="Z57" s="13"/>
    </row>
    <row r="58" ht="28.5" customHeight="1">
      <c r="A58" s="14">
        <v>57.0</v>
      </c>
      <c r="B58" s="14" t="s">
        <v>231</v>
      </c>
      <c r="C58" s="14" t="s">
        <v>232</v>
      </c>
      <c r="D58" s="14" t="s">
        <v>17</v>
      </c>
      <c r="E58" s="14" t="s">
        <v>230</v>
      </c>
      <c r="F58" s="14" t="s">
        <v>66</v>
      </c>
      <c r="G58" s="13" t="str">
        <f t="shared" si="1"/>
        <v>06</v>
      </c>
      <c r="H58" s="13" t="str">
        <f t="shared" si="2"/>
        <v>11</v>
      </c>
      <c r="I58" s="13" t="str">
        <f t="shared" si="3"/>
        <v>23</v>
      </c>
      <c r="J58" s="13" t="s">
        <v>227</v>
      </c>
      <c r="K58" s="13" t="s">
        <v>74</v>
      </c>
      <c r="L58" s="13" t="str">
        <f t="shared" si="4"/>
        <v>12va Ordinaria - Cumplido</v>
      </c>
      <c r="M58" s="13"/>
      <c r="N58" s="13"/>
      <c r="O58" s="13"/>
      <c r="P58" s="13"/>
      <c r="Q58" s="13"/>
      <c r="R58" s="13"/>
      <c r="S58" s="13"/>
      <c r="T58" s="13"/>
      <c r="U58" s="13"/>
      <c r="V58" s="13"/>
      <c r="W58" s="13"/>
      <c r="X58" s="13"/>
      <c r="Y58" s="13"/>
      <c r="Z58" s="13"/>
    </row>
    <row r="59" ht="28.5" customHeight="1">
      <c r="A59" s="14">
        <v>58.0</v>
      </c>
      <c r="B59" s="14" t="s">
        <v>233</v>
      </c>
      <c r="C59" s="17" t="s">
        <v>234</v>
      </c>
      <c r="D59" s="14" t="s">
        <v>115</v>
      </c>
      <c r="E59" s="14" t="s">
        <v>121</v>
      </c>
      <c r="F59" s="14" t="s">
        <v>66</v>
      </c>
      <c r="G59" s="13" t="str">
        <f t="shared" si="1"/>
        <v>06</v>
      </c>
      <c r="H59" s="13" t="str">
        <f t="shared" si="2"/>
        <v>11</v>
      </c>
      <c r="I59" s="13" t="str">
        <f t="shared" si="3"/>
        <v>23</v>
      </c>
      <c r="J59" s="13" t="s">
        <v>227</v>
      </c>
      <c r="K59" s="13" t="s">
        <v>74</v>
      </c>
      <c r="L59" s="13" t="str">
        <f t="shared" si="4"/>
        <v>12va Ordinaria - Cumplido</v>
      </c>
      <c r="M59" s="13"/>
      <c r="N59" s="13"/>
      <c r="O59" s="13"/>
      <c r="P59" s="13"/>
      <c r="Q59" s="13"/>
      <c r="R59" s="13"/>
      <c r="S59" s="13"/>
      <c r="T59" s="13"/>
      <c r="U59" s="13"/>
      <c r="V59" s="13"/>
      <c r="W59" s="13"/>
      <c r="X59" s="13"/>
      <c r="Y59" s="13"/>
      <c r="Z59" s="13"/>
    </row>
    <row r="60" ht="28.5" customHeight="1">
      <c r="A60" s="15">
        <v>59.0</v>
      </c>
      <c r="B60" s="15" t="s">
        <v>235</v>
      </c>
      <c r="C60" s="16" t="s">
        <v>236</v>
      </c>
      <c r="D60" s="15" t="s">
        <v>17</v>
      </c>
      <c r="E60" s="15" t="s">
        <v>188</v>
      </c>
      <c r="F60" s="15" t="s">
        <v>66</v>
      </c>
      <c r="G60" s="13" t="str">
        <f t="shared" si="1"/>
        <v>07</v>
      </c>
      <c r="H60" s="13" t="str">
        <f t="shared" si="2"/>
        <v>12</v>
      </c>
      <c r="I60" s="13" t="str">
        <f t="shared" si="3"/>
        <v>23</v>
      </c>
      <c r="J60" s="13" t="s">
        <v>237</v>
      </c>
      <c r="K60" s="13" t="s">
        <v>74</v>
      </c>
      <c r="L60" s="13" t="str">
        <f t="shared" si="4"/>
        <v>13va Ordinara - Cumplido</v>
      </c>
      <c r="M60" s="13"/>
      <c r="N60" s="13"/>
      <c r="O60" s="13"/>
      <c r="P60" s="13"/>
      <c r="Q60" s="13"/>
      <c r="R60" s="13"/>
      <c r="S60" s="13"/>
      <c r="T60" s="13"/>
      <c r="U60" s="13"/>
      <c r="V60" s="13"/>
      <c r="W60" s="13"/>
      <c r="X60" s="13"/>
      <c r="Y60" s="13"/>
      <c r="Z60" s="13"/>
    </row>
    <row r="61" ht="14.25" customHeight="1">
      <c r="A61" s="16">
        <v>60.0</v>
      </c>
      <c r="B61" s="16" t="s">
        <v>238</v>
      </c>
      <c r="C61" s="16" t="s">
        <v>239</v>
      </c>
      <c r="D61" s="16" t="s">
        <v>163</v>
      </c>
      <c r="E61" s="16" t="s">
        <v>121</v>
      </c>
      <c r="F61" s="16" t="s">
        <v>66</v>
      </c>
      <c r="G61" s="13" t="str">
        <f t="shared" si="1"/>
        <v>07</v>
      </c>
      <c r="H61" s="13" t="str">
        <f t="shared" si="2"/>
        <v>12</v>
      </c>
      <c r="I61" s="13" t="str">
        <f t="shared" si="3"/>
        <v>23</v>
      </c>
      <c r="J61" s="13" t="s">
        <v>237</v>
      </c>
      <c r="K61" s="13" t="s">
        <v>74</v>
      </c>
      <c r="L61" s="13" t="str">
        <f t="shared" si="4"/>
        <v>13va Ordinara - Cumplido</v>
      </c>
      <c r="M61" s="13"/>
      <c r="N61" s="13"/>
      <c r="O61" s="13"/>
      <c r="P61" s="13"/>
      <c r="Q61" s="13"/>
      <c r="R61" s="13"/>
      <c r="S61" s="13"/>
      <c r="T61" s="13"/>
      <c r="U61" s="13"/>
      <c r="V61" s="13"/>
      <c r="W61" s="13"/>
      <c r="X61" s="13"/>
      <c r="Y61" s="13"/>
      <c r="Z61" s="13"/>
    </row>
    <row r="62" ht="14.25" customHeight="1">
      <c r="A62" s="16">
        <v>61.0</v>
      </c>
      <c r="B62" s="16" t="s">
        <v>240</v>
      </c>
      <c r="C62" s="16" t="s">
        <v>241</v>
      </c>
      <c r="D62" s="16" t="s">
        <v>163</v>
      </c>
      <c r="E62" s="16" t="s">
        <v>242</v>
      </c>
      <c r="F62" s="16" t="s">
        <v>126</v>
      </c>
      <c r="G62" s="13" t="str">
        <f t="shared" si="1"/>
        <v>07</v>
      </c>
      <c r="H62" s="13" t="str">
        <f t="shared" si="2"/>
        <v>12</v>
      </c>
      <c r="I62" s="13" t="str">
        <f t="shared" si="3"/>
        <v>23</v>
      </c>
      <c r="J62" s="13" t="s">
        <v>237</v>
      </c>
      <c r="K62" s="13" t="s">
        <v>74</v>
      </c>
      <c r="L62" s="13" t="str">
        <f t="shared" si="4"/>
        <v>13va Ordinara - cumplido</v>
      </c>
      <c r="M62" s="13"/>
      <c r="N62" s="13"/>
      <c r="O62" s="13"/>
      <c r="P62" s="13"/>
      <c r="Q62" s="13"/>
      <c r="R62" s="13"/>
      <c r="S62" s="13"/>
      <c r="T62" s="13"/>
      <c r="U62" s="13"/>
      <c r="V62" s="13"/>
      <c r="W62" s="13"/>
      <c r="X62" s="13"/>
      <c r="Y62" s="13"/>
      <c r="Z62" s="13"/>
    </row>
    <row r="63" ht="14.25" customHeight="1">
      <c r="A63" s="16">
        <v>62.0</v>
      </c>
      <c r="B63" s="16" t="s">
        <v>243</v>
      </c>
      <c r="C63" s="19" t="s">
        <v>244</v>
      </c>
      <c r="D63" s="16" t="s">
        <v>17</v>
      </c>
      <c r="E63" s="16" t="s">
        <v>245</v>
      </c>
      <c r="F63" s="16" t="s">
        <v>126</v>
      </c>
      <c r="G63" s="13" t="str">
        <f t="shared" si="1"/>
        <v>07</v>
      </c>
      <c r="H63" s="13" t="str">
        <f t="shared" si="2"/>
        <v>12</v>
      </c>
      <c r="I63" s="13" t="str">
        <f t="shared" si="3"/>
        <v>23</v>
      </c>
      <c r="J63" s="13" t="s">
        <v>237</v>
      </c>
      <c r="K63" s="13" t="s">
        <v>74</v>
      </c>
      <c r="L63" s="13" t="str">
        <f t="shared" si="4"/>
        <v>13va Ordinara - cumplido</v>
      </c>
      <c r="M63" s="13"/>
      <c r="N63" s="13"/>
      <c r="O63" s="13"/>
      <c r="P63" s="13"/>
      <c r="Q63" s="13"/>
      <c r="R63" s="13"/>
      <c r="S63" s="13"/>
      <c r="T63" s="13"/>
      <c r="U63" s="13"/>
      <c r="V63" s="13"/>
      <c r="W63" s="13"/>
      <c r="X63" s="13"/>
      <c r="Y63" s="13"/>
      <c r="Z63" s="13"/>
    </row>
    <row r="64" ht="42.75" customHeight="1">
      <c r="A64" s="14">
        <v>63.0</v>
      </c>
      <c r="B64" s="14" t="s">
        <v>246</v>
      </c>
      <c r="C64" s="20" t="s">
        <v>247</v>
      </c>
      <c r="D64" s="14" t="s">
        <v>71</v>
      </c>
      <c r="E64" s="14" t="s">
        <v>248</v>
      </c>
      <c r="F64" s="14" t="s">
        <v>126</v>
      </c>
      <c r="G64" s="13" t="str">
        <f t="shared" si="1"/>
        <v>18</v>
      </c>
      <c r="H64" s="13" t="str">
        <f t="shared" si="2"/>
        <v>12</v>
      </c>
      <c r="I64" s="13" t="str">
        <f t="shared" si="3"/>
        <v>23</v>
      </c>
      <c r="J64" s="13" t="s">
        <v>249</v>
      </c>
      <c r="K64" s="13" t="s">
        <v>74</v>
      </c>
      <c r="L64" s="13" t="str">
        <f t="shared" si="4"/>
        <v>2da Extraordinaria - cumplido</v>
      </c>
      <c r="M64" s="13"/>
      <c r="N64" s="13"/>
      <c r="O64" s="13"/>
      <c r="P64" s="13"/>
      <c r="Q64" s="13"/>
      <c r="R64" s="13"/>
      <c r="S64" s="13"/>
      <c r="T64" s="13"/>
      <c r="U64" s="13"/>
      <c r="V64" s="13"/>
      <c r="W64" s="13"/>
      <c r="X64" s="13"/>
      <c r="Y64" s="13"/>
      <c r="Z64" s="13"/>
    </row>
    <row r="65" ht="57.75" customHeight="1">
      <c r="A65" s="14">
        <v>64.0</v>
      </c>
      <c r="B65" s="14" t="s">
        <v>250</v>
      </c>
      <c r="C65" s="14" t="s">
        <v>251</v>
      </c>
      <c r="D65" s="14" t="s">
        <v>252</v>
      </c>
      <c r="E65" s="14" t="s">
        <v>253</v>
      </c>
      <c r="F65" s="14" t="s">
        <v>126</v>
      </c>
      <c r="G65" s="13" t="str">
        <f t="shared" si="1"/>
        <v>18</v>
      </c>
      <c r="H65" s="13" t="str">
        <f t="shared" si="2"/>
        <v>12</v>
      </c>
      <c r="I65" s="13" t="str">
        <f t="shared" si="3"/>
        <v>23</v>
      </c>
      <c r="J65" s="13" t="s">
        <v>249</v>
      </c>
      <c r="K65" s="13" t="s">
        <v>74</v>
      </c>
      <c r="L65" s="13" t="str">
        <f t="shared" si="4"/>
        <v>2da Extraordinaria - cumplido</v>
      </c>
      <c r="M65" s="13"/>
      <c r="N65" s="13"/>
      <c r="O65" s="13"/>
      <c r="P65" s="13"/>
      <c r="Q65" s="13"/>
      <c r="R65" s="13"/>
      <c r="S65" s="13"/>
      <c r="T65" s="13"/>
      <c r="U65" s="13"/>
      <c r="V65" s="13"/>
      <c r="W65" s="13"/>
      <c r="X65" s="13"/>
      <c r="Y65" s="13"/>
      <c r="Z65" s="13"/>
    </row>
    <row r="66" ht="14.25" customHeight="1">
      <c r="A66" s="16">
        <v>65.0</v>
      </c>
      <c r="B66" s="16" t="s">
        <v>254</v>
      </c>
      <c r="C66" s="19" t="s">
        <v>255</v>
      </c>
      <c r="D66" s="19" t="s">
        <v>163</v>
      </c>
      <c r="E66" s="19" t="s">
        <v>230</v>
      </c>
      <c r="F66" s="19" t="s">
        <v>66</v>
      </c>
      <c r="G66" s="13" t="str">
        <f t="shared" si="1"/>
        <v>18</v>
      </c>
      <c r="H66" s="13" t="str">
        <f t="shared" si="2"/>
        <v>01</v>
      </c>
      <c r="I66" s="13" t="str">
        <f t="shared" si="3"/>
        <v>24</v>
      </c>
      <c r="J66" s="13" t="s">
        <v>256</v>
      </c>
      <c r="K66" s="13" t="s">
        <v>74</v>
      </c>
      <c r="L66" s="13" t="str">
        <f t="shared" si="4"/>
        <v>14va Ordinaria - Cumplido</v>
      </c>
      <c r="M66" s="13"/>
      <c r="N66" s="13"/>
      <c r="O66" s="13"/>
      <c r="P66" s="13"/>
      <c r="Q66" s="13"/>
      <c r="R66" s="13"/>
      <c r="S66" s="13"/>
      <c r="T66" s="13"/>
      <c r="U66" s="13"/>
      <c r="V66" s="13"/>
      <c r="W66" s="13"/>
      <c r="X66" s="13"/>
      <c r="Y66" s="13"/>
      <c r="Z66" s="13"/>
    </row>
    <row r="67" ht="29.25" customHeight="1">
      <c r="A67" s="15">
        <v>66.0</v>
      </c>
      <c r="B67" s="15" t="s">
        <v>257</v>
      </c>
      <c r="C67" s="16" t="s">
        <v>258</v>
      </c>
      <c r="D67" s="15" t="s">
        <v>17</v>
      </c>
      <c r="E67" s="15" t="s">
        <v>230</v>
      </c>
      <c r="F67" s="19" t="s">
        <v>66</v>
      </c>
      <c r="G67" s="13" t="str">
        <f t="shared" si="1"/>
        <v>18</v>
      </c>
      <c r="H67" s="13" t="str">
        <f t="shared" si="2"/>
        <v>01</v>
      </c>
      <c r="I67" s="13" t="str">
        <f t="shared" si="3"/>
        <v>24</v>
      </c>
      <c r="J67" s="13" t="s">
        <v>256</v>
      </c>
      <c r="K67" s="13" t="s">
        <v>74</v>
      </c>
      <c r="L67" s="13" t="str">
        <f t="shared" si="4"/>
        <v>14va Ordinaria - Cumplido</v>
      </c>
      <c r="M67" s="13"/>
      <c r="N67" s="13"/>
      <c r="O67" s="13"/>
      <c r="P67" s="13"/>
      <c r="Q67" s="13"/>
      <c r="R67" s="13"/>
      <c r="S67" s="13"/>
      <c r="T67" s="13"/>
      <c r="U67" s="13"/>
      <c r="V67" s="13"/>
      <c r="W67" s="13"/>
      <c r="X67" s="13"/>
      <c r="Y67" s="13"/>
      <c r="Z67" s="13"/>
    </row>
    <row r="68" ht="14.25" customHeight="1">
      <c r="A68" s="16">
        <v>67.0</v>
      </c>
      <c r="B68" s="16" t="s">
        <v>259</v>
      </c>
      <c r="C68" s="16" t="s">
        <v>260</v>
      </c>
      <c r="D68" s="16" t="s">
        <v>261</v>
      </c>
      <c r="E68" s="16" t="s">
        <v>230</v>
      </c>
      <c r="F68" s="19" t="s">
        <v>66</v>
      </c>
      <c r="G68" s="13" t="str">
        <f t="shared" si="1"/>
        <v>18</v>
      </c>
      <c r="H68" s="13" t="str">
        <f t="shared" si="2"/>
        <v>01</v>
      </c>
      <c r="I68" s="13" t="str">
        <f t="shared" si="3"/>
        <v>24</v>
      </c>
      <c r="J68" s="13" t="s">
        <v>256</v>
      </c>
      <c r="K68" s="13" t="s">
        <v>74</v>
      </c>
      <c r="L68" s="13" t="str">
        <f t="shared" si="4"/>
        <v>14va Ordinaria - Cumplido</v>
      </c>
      <c r="M68" s="13"/>
      <c r="N68" s="13"/>
      <c r="O68" s="13"/>
      <c r="P68" s="13"/>
      <c r="Q68" s="13"/>
      <c r="R68" s="13"/>
      <c r="S68" s="13"/>
      <c r="T68" s="13"/>
      <c r="U68" s="13"/>
      <c r="V68" s="13"/>
      <c r="W68" s="13"/>
      <c r="X68" s="13"/>
      <c r="Y68" s="13"/>
      <c r="Z68" s="13"/>
    </row>
    <row r="69" ht="14.25" customHeight="1">
      <c r="A69" s="16">
        <v>68.0</v>
      </c>
      <c r="B69" s="16" t="s">
        <v>262</v>
      </c>
      <c r="C69" s="16" t="s">
        <v>263</v>
      </c>
      <c r="D69" s="16" t="s">
        <v>154</v>
      </c>
      <c r="E69" s="16" t="s">
        <v>121</v>
      </c>
      <c r="F69" s="19" t="s">
        <v>66</v>
      </c>
      <c r="G69" s="13" t="str">
        <f t="shared" si="1"/>
        <v>18</v>
      </c>
      <c r="H69" s="13" t="str">
        <f t="shared" si="2"/>
        <v>01</v>
      </c>
      <c r="I69" s="13" t="str">
        <f t="shared" si="3"/>
        <v>24</v>
      </c>
      <c r="J69" s="13" t="s">
        <v>256</v>
      </c>
      <c r="K69" s="13" t="s">
        <v>74</v>
      </c>
      <c r="L69" s="13" t="str">
        <f t="shared" si="4"/>
        <v>14va Ordinaria - Cumplido</v>
      </c>
      <c r="M69" s="13"/>
      <c r="N69" s="13"/>
      <c r="O69" s="13"/>
      <c r="P69" s="13"/>
      <c r="Q69" s="13"/>
      <c r="R69" s="13"/>
      <c r="S69" s="13"/>
      <c r="T69" s="13"/>
      <c r="U69" s="13"/>
      <c r="V69" s="13"/>
      <c r="W69" s="13"/>
      <c r="X69" s="13"/>
      <c r="Y69" s="13"/>
      <c r="Z69" s="13"/>
    </row>
    <row r="70" ht="14.25" customHeight="1">
      <c r="A70" s="16">
        <v>69.0</v>
      </c>
      <c r="B70" s="16" t="s">
        <v>264</v>
      </c>
      <c r="C70" s="16" t="s">
        <v>265</v>
      </c>
      <c r="D70" s="16" t="s">
        <v>17</v>
      </c>
      <c r="E70" s="16" t="s">
        <v>230</v>
      </c>
      <c r="F70" s="19" t="s">
        <v>66</v>
      </c>
      <c r="G70" s="13" t="str">
        <f t="shared" si="1"/>
        <v>18</v>
      </c>
      <c r="H70" s="13" t="str">
        <f t="shared" si="2"/>
        <v>01</v>
      </c>
      <c r="I70" s="13" t="str">
        <f t="shared" si="3"/>
        <v>24</v>
      </c>
      <c r="J70" s="13" t="s">
        <v>256</v>
      </c>
      <c r="K70" s="13" t="s">
        <v>74</v>
      </c>
      <c r="L70" s="13" t="str">
        <f t="shared" si="4"/>
        <v>14va Ordinaria - Cumplido</v>
      </c>
      <c r="M70" s="13"/>
      <c r="N70" s="13"/>
      <c r="O70" s="13"/>
      <c r="P70" s="13"/>
      <c r="Q70" s="13"/>
      <c r="R70" s="13"/>
      <c r="S70" s="13"/>
      <c r="T70" s="13"/>
      <c r="U70" s="13"/>
      <c r="V70" s="13"/>
      <c r="W70" s="13"/>
      <c r="X70" s="13"/>
      <c r="Y70" s="13"/>
      <c r="Z70" s="13"/>
    </row>
    <row r="71" ht="43.5" customHeight="1">
      <c r="A71" s="15">
        <v>70.0</v>
      </c>
      <c r="B71" s="15" t="s">
        <v>266</v>
      </c>
      <c r="C71" s="16" t="s">
        <v>267</v>
      </c>
      <c r="D71" s="15" t="s">
        <v>163</v>
      </c>
      <c r="E71" s="15" t="s">
        <v>268</v>
      </c>
      <c r="F71" s="15" t="s">
        <v>66</v>
      </c>
      <c r="G71" s="13" t="str">
        <f t="shared" si="1"/>
        <v>18</v>
      </c>
      <c r="H71" s="13" t="str">
        <f t="shared" si="2"/>
        <v>01</v>
      </c>
      <c r="I71" s="13" t="str">
        <f t="shared" si="3"/>
        <v>24</v>
      </c>
      <c r="J71" s="13" t="s">
        <v>256</v>
      </c>
      <c r="K71" s="13" t="s">
        <v>74</v>
      </c>
      <c r="L71" s="13" t="str">
        <f t="shared" si="4"/>
        <v>14va Ordinaria - Cumplido</v>
      </c>
      <c r="M71" s="13"/>
      <c r="N71" s="13"/>
      <c r="O71" s="13"/>
      <c r="P71" s="13"/>
      <c r="Q71" s="13"/>
      <c r="R71" s="13"/>
      <c r="S71" s="13"/>
      <c r="T71" s="13"/>
      <c r="U71" s="13"/>
      <c r="V71" s="13"/>
      <c r="W71" s="13"/>
      <c r="X71" s="13"/>
      <c r="Y71" s="13"/>
      <c r="Z71" s="13"/>
    </row>
    <row r="72" ht="14.25" customHeight="1">
      <c r="A72" s="16">
        <v>71.0</v>
      </c>
      <c r="B72" s="16" t="s">
        <v>269</v>
      </c>
      <c r="C72" s="16" t="s">
        <v>270</v>
      </c>
      <c r="D72" s="16" t="s">
        <v>163</v>
      </c>
      <c r="E72" s="16" t="s">
        <v>268</v>
      </c>
      <c r="F72" s="19" t="s">
        <v>66</v>
      </c>
      <c r="G72" s="13" t="str">
        <f t="shared" si="1"/>
        <v>18</v>
      </c>
      <c r="H72" s="13" t="str">
        <f t="shared" si="2"/>
        <v>01</v>
      </c>
      <c r="I72" s="13" t="str">
        <f t="shared" si="3"/>
        <v>24</v>
      </c>
      <c r="J72" s="13" t="s">
        <v>256</v>
      </c>
      <c r="K72" s="13" t="s">
        <v>74</v>
      </c>
      <c r="L72" s="13" t="str">
        <f t="shared" si="4"/>
        <v>14va Ordinaria - Cumplido</v>
      </c>
      <c r="M72" s="13"/>
      <c r="N72" s="13"/>
      <c r="O72" s="13"/>
      <c r="P72" s="13"/>
      <c r="Q72" s="13"/>
      <c r="R72" s="13"/>
      <c r="S72" s="13"/>
      <c r="T72" s="13"/>
      <c r="U72" s="13"/>
      <c r="V72" s="13"/>
      <c r="W72" s="13"/>
      <c r="X72" s="13"/>
      <c r="Y72" s="13"/>
      <c r="Z72" s="13"/>
    </row>
    <row r="73" ht="14.25" customHeight="1">
      <c r="A73" s="16">
        <v>72.0</v>
      </c>
      <c r="B73" s="16" t="s">
        <v>271</v>
      </c>
      <c r="C73" s="16" t="s">
        <v>272</v>
      </c>
      <c r="D73" s="16" t="s">
        <v>252</v>
      </c>
      <c r="E73" s="16" t="s">
        <v>230</v>
      </c>
      <c r="F73" s="19" t="s">
        <v>66</v>
      </c>
      <c r="G73" s="13" t="str">
        <f t="shared" si="1"/>
        <v>18</v>
      </c>
      <c r="H73" s="13" t="str">
        <f t="shared" si="2"/>
        <v>01</v>
      </c>
      <c r="I73" s="13" t="str">
        <f t="shared" si="3"/>
        <v>24</v>
      </c>
      <c r="J73" s="13" t="s">
        <v>256</v>
      </c>
      <c r="K73" s="13" t="s">
        <v>74</v>
      </c>
      <c r="L73" s="13" t="str">
        <f t="shared" si="4"/>
        <v>14va Ordinaria - Cumplido</v>
      </c>
      <c r="M73" s="13"/>
      <c r="N73" s="13"/>
      <c r="O73" s="13"/>
      <c r="P73" s="13"/>
      <c r="Q73" s="13"/>
      <c r="R73" s="13"/>
      <c r="S73" s="13"/>
      <c r="T73" s="13"/>
      <c r="U73" s="13"/>
      <c r="V73" s="13"/>
      <c r="W73" s="13"/>
      <c r="X73" s="13"/>
      <c r="Y73" s="13"/>
      <c r="Z73" s="13"/>
    </row>
    <row r="74" ht="15.75" customHeight="1">
      <c r="A74" s="14">
        <v>73.0</v>
      </c>
      <c r="B74" s="14" t="s">
        <v>273</v>
      </c>
      <c r="C74" s="21" t="s">
        <v>274</v>
      </c>
      <c r="D74" s="14" t="s">
        <v>40</v>
      </c>
      <c r="E74" s="22">
        <v>45329.0</v>
      </c>
      <c r="F74" s="17" t="s">
        <v>66</v>
      </c>
      <c r="G74" s="23">
        <v>1.0</v>
      </c>
      <c r="H74" s="24" t="s">
        <v>275</v>
      </c>
      <c r="I74" s="13" t="str">
        <f t="shared" si="3"/>
        <v>24</v>
      </c>
      <c r="J74" s="13" t="s">
        <v>276</v>
      </c>
      <c r="K74" s="13" t="s">
        <v>74</v>
      </c>
      <c r="L74" s="13" t="str">
        <f t="shared" si="4"/>
        <v>3ra Extraordinaria - Cumplido</v>
      </c>
      <c r="M74" s="13"/>
      <c r="N74" s="13"/>
      <c r="O74" s="13"/>
      <c r="P74" s="13"/>
      <c r="Q74" s="13"/>
      <c r="R74" s="13"/>
      <c r="S74" s="13"/>
      <c r="T74" s="13"/>
      <c r="U74" s="13"/>
      <c r="V74" s="13"/>
      <c r="W74" s="13"/>
      <c r="X74" s="13"/>
      <c r="Y74" s="13"/>
      <c r="Z74" s="13"/>
    </row>
    <row r="75" ht="15.75" customHeight="1">
      <c r="A75" s="14">
        <v>74.0</v>
      </c>
      <c r="B75" s="14" t="s">
        <v>277</v>
      </c>
      <c r="C75" s="21" t="s">
        <v>278</v>
      </c>
      <c r="D75" s="14" t="s">
        <v>279</v>
      </c>
      <c r="E75" s="22">
        <v>45329.0</v>
      </c>
      <c r="F75" s="17" t="s">
        <v>66</v>
      </c>
      <c r="G75" s="23">
        <v>2.0</v>
      </c>
      <c r="H75" s="24" t="s">
        <v>275</v>
      </c>
      <c r="I75" s="13" t="str">
        <f t="shared" si="3"/>
        <v>24</v>
      </c>
      <c r="J75" s="13" t="s">
        <v>276</v>
      </c>
      <c r="K75" s="13" t="s">
        <v>74</v>
      </c>
      <c r="L75" s="13" t="str">
        <f t="shared" si="4"/>
        <v>3ra Extraordinaria - Cumplido</v>
      </c>
      <c r="M75" s="13"/>
      <c r="N75" s="13"/>
      <c r="O75" s="13"/>
      <c r="P75" s="13"/>
      <c r="Q75" s="13"/>
      <c r="R75" s="13"/>
      <c r="S75" s="13"/>
      <c r="T75" s="13"/>
      <c r="U75" s="13"/>
      <c r="V75" s="13"/>
      <c r="W75" s="13"/>
      <c r="X75" s="13"/>
      <c r="Y75" s="13"/>
      <c r="Z75" s="13"/>
    </row>
    <row r="76" ht="15.75" customHeight="1">
      <c r="A76" s="14">
        <v>75.0</v>
      </c>
      <c r="B76" s="14" t="s">
        <v>280</v>
      </c>
      <c r="C76" s="21" t="s">
        <v>281</v>
      </c>
      <c r="D76" s="14" t="s">
        <v>40</v>
      </c>
      <c r="E76" s="22">
        <v>45329.0</v>
      </c>
      <c r="F76" s="17" t="s">
        <v>66</v>
      </c>
      <c r="G76" s="23">
        <v>3.0</v>
      </c>
      <c r="H76" s="24" t="s">
        <v>275</v>
      </c>
      <c r="I76" s="13" t="str">
        <f t="shared" si="3"/>
        <v>24</v>
      </c>
      <c r="J76" s="13" t="s">
        <v>276</v>
      </c>
      <c r="K76" s="13" t="s">
        <v>74</v>
      </c>
      <c r="L76" s="13" t="str">
        <f t="shared" si="4"/>
        <v>3ra Extraordinaria - Cumplido</v>
      </c>
      <c r="M76" s="13"/>
      <c r="N76" s="13"/>
      <c r="O76" s="13"/>
      <c r="P76" s="13"/>
      <c r="Q76" s="13"/>
      <c r="R76" s="13"/>
      <c r="S76" s="13"/>
      <c r="T76" s="13"/>
      <c r="U76" s="13"/>
      <c r="V76" s="13"/>
      <c r="W76" s="13"/>
      <c r="X76" s="13"/>
      <c r="Y76" s="13"/>
      <c r="Z76" s="13"/>
    </row>
    <row r="77" ht="15.75" customHeight="1">
      <c r="A77" s="25">
        <v>76.0</v>
      </c>
      <c r="B77" s="25" t="s">
        <v>282</v>
      </c>
      <c r="C77" s="26" t="s">
        <v>283</v>
      </c>
      <c r="D77" s="25" t="s">
        <v>40</v>
      </c>
      <c r="E77" s="27">
        <v>45329.0</v>
      </c>
      <c r="F77" s="28" t="s">
        <v>66</v>
      </c>
      <c r="G77" s="23">
        <v>4.0</v>
      </c>
      <c r="H77" s="24" t="s">
        <v>275</v>
      </c>
      <c r="I77" s="13" t="str">
        <f t="shared" si="3"/>
        <v>24</v>
      </c>
      <c r="J77" s="13" t="s">
        <v>276</v>
      </c>
      <c r="K77" s="13" t="s">
        <v>74</v>
      </c>
      <c r="L77" s="13" t="str">
        <f t="shared" si="4"/>
        <v>3ra Extraordinaria - Cumplido</v>
      </c>
      <c r="M77" s="13"/>
      <c r="N77" s="13"/>
      <c r="O77" s="13"/>
      <c r="P77" s="13"/>
      <c r="Q77" s="13"/>
      <c r="R77" s="13"/>
      <c r="S77" s="13"/>
      <c r="T77" s="13"/>
      <c r="U77" s="13"/>
      <c r="V77" s="13"/>
      <c r="W77" s="13"/>
      <c r="X77" s="13"/>
      <c r="Y77" s="13"/>
      <c r="Z77" s="13"/>
    </row>
    <row r="78" ht="15.75" customHeight="1">
      <c r="A78" s="29">
        <v>77.0</v>
      </c>
      <c r="B78" s="29" t="s">
        <v>284</v>
      </c>
      <c r="C78" s="29" t="s">
        <v>285</v>
      </c>
      <c r="D78" s="25" t="s">
        <v>286</v>
      </c>
      <c r="E78" s="30" t="s">
        <v>287</v>
      </c>
      <c r="F78" s="28" t="s">
        <v>66</v>
      </c>
      <c r="G78" s="23">
        <v>15.0</v>
      </c>
      <c r="H78" s="24" t="s">
        <v>275</v>
      </c>
      <c r="I78" s="13" t="str">
        <f t="shared" ref="I78:I81" si="5">MID(B78,11,2)</f>
        <v>24</v>
      </c>
      <c r="J78" s="13" t="s">
        <v>288</v>
      </c>
      <c r="K78" s="13"/>
      <c r="L78" s="13"/>
      <c r="M78" s="13"/>
      <c r="N78" s="13"/>
      <c r="O78" s="13"/>
      <c r="P78" s="13"/>
      <c r="Q78" s="13"/>
      <c r="R78" s="13"/>
      <c r="S78" s="13"/>
      <c r="T78" s="13"/>
      <c r="U78" s="13"/>
      <c r="V78" s="13"/>
      <c r="W78" s="13"/>
      <c r="X78" s="13"/>
      <c r="Y78" s="13"/>
      <c r="Z78" s="13"/>
    </row>
    <row r="79" ht="15.75" customHeight="1">
      <c r="A79" s="29">
        <v>78.0</v>
      </c>
      <c r="B79" s="29" t="s">
        <v>289</v>
      </c>
      <c r="C79" s="29" t="s">
        <v>290</v>
      </c>
      <c r="D79" s="25" t="s">
        <v>291</v>
      </c>
      <c r="E79" s="30" t="s">
        <v>23</v>
      </c>
      <c r="F79" s="28" t="s">
        <v>66</v>
      </c>
      <c r="G79" s="23">
        <v>15.0</v>
      </c>
      <c r="H79" s="24" t="s">
        <v>275</v>
      </c>
      <c r="I79" s="13" t="str">
        <f t="shared" si="5"/>
        <v>24</v>
      </c>
      <c r="J79" s="13" t="s">
        <v>288</v>
      </c>
      <c r="K79" s="13"/>
      <c r="L79" s="13"/>
      <c r="M79" s="13"/>
      <c r="N79" s="13"/>
      <c r="O79" s="13"/>
      <c r="P79" s="13"/>
      <c r="Q79" s="13"/>
      <c r="R79" s="13"/>
      <c r="S79" s="13"/>
      <c r="T79" s="13"/>
      <c r="U79" s="13"/>
      <c r="V79" s="13"/>
      <c r="W79" s="13"/>
      <c r="X79" s="13"/>
      <c r="Y79" s="13"/>
      <c r="Z79" s="13"/>
    </row>
    <row r="80" ht="15.75" customHeight="1">
      <c r="A80" s="29">
        <v>79.0</v>
      </c>
      <c r="B80" s="29" t="s">
        <v>292</v>
      </c>
      <c r="C80" s="29" t="s">
        <v>293</v>
      </c>
      <c r="D80" s="25" t="s">
        <v>291</v>
      </c>
      <c r="E80" s="30" t="s">
        <v>23</v>
      </c>
      <c r="F80" s="28" t="s">
        <v>66</v>
      </c>
      <c r="G80" s="23">
        <v>15.0</v>
      </c>
      <c r="H80" s="24" t="s">
        <v>275</v>
      </c>
      <c r="I80" s="13" t="str">
        <f t="shared" si="5"/>
        <v>24</v>
      </c>
      <c r="J80" s="13" t="s">
        <v>288</v>
      </c>
      <c r="K80" s="13"/>
      <c r="L80" s="13"/>
      <c r="M80" s="13"/>
      <c r="N80" s="13"/>
      <c r="O80" s="13"/>
      <c r="P80" s="13"/>
      <c r="Q80" s="13"/>
      <c r="R80" s="13"/>
      <c r="S80" s="13"/>
      <c r="T80" s="13"/>
      <c r="U80" s="13"/>
      <c r="V80" s="13"/>
      <c r="W80" s="13"/>
      <c r="X80" s="13"/>
      <c r="Y80" s="13"/>
      <c r="Z80" s="13"/>
    </row>
    <row r="81" ht="15.75" customHeight="1">
      <c r="A81" s="29">
        <v>80.0</v>
      </c>
      <c r="B81" s="29" t="s">
        <v>294</v>
      </c>
      <c r="C81" s="29" t="s">
        <v>295</v>
      </c>
      <c r="D81" s="25" t="s">
        <v>17</v>
      </c>
      <c r="E81" s="30" t="s">
        <v>29</v>
      </c>
      <c r="F81" s="28" t="s">
        <v>66</v>
      </c>
      <c r="G81" s="23">
        <v>15.0</v>
      </c>
      <c r="H81" s="24" t="s">
        <v>275</v>
      </c>
      <c r="I81" s="13" t="str">
        <f t="shared" si="5"/>
        <v>24</v>
      </c>
      <c r="J81" s="13" t="s">
        <v>288</v>
      </c>
      <c r="K81" s="13"/>
      <c r="L81" s="13"/>
      <c r="M81" s="13"/>
      <c r="N81" s="13"/>
      <c r="O81" s="13"/>
      <c r="P81" s="13"/>
      <c r="Q81" s="13"/>
      <c r="R81" s="13"/>
      <c r="S81" s="13"/>
      <c r="T81" s="13"/>
      <c r="U81" s="13"/>
      <c r="V81" s="13"/>
      <c r="W81" s="13"/>
      <c r="X81" s="13"/>
      <c r="Y81" s="13"/>
      <c r="Z81" s="13"/>
    </row>
    <row r="82" ht="15.75" customHeight="1">
      <c r="A82" s="29">
        <v>81.0</v>
      </c>
      <c r="B82" s="29" t="s">
        <v>296</v>
      </c>
      <c r="C82" s="29" t="s">
        <v>297</v>
      </c>
      <c r="D82" s="25" t="s">
        <v>40</v>
      </c>
      <c r="E82" s="30"/>
      <c r="F82" s="28" t="s">
        <v>66</v>
      </c>
      <c r="G82" s="23">
        <v>18.0</v>
      </c>
      <c r="H82" s="24" t="s">
        <v>298</v>
      </c>
      <c r="I82" s="13">
        <v>24.0</v>
      </c>
      <c r="J82" s="13" t="s">
        <v>299</v>
      </c>
      <c r="K82" s="13"/>
      <c r="L82" s="13" t="s">
        <v>300</v>
      </c>
      <c r="M82" s="13"/>
      <c r="N82" s="13"/>
      <c r="O82" s="13"/>
      <c r="P82" s="13"/>
      <c r="Q82" s="13"/>
      <c r="R82" s="13"/>
      <c r="S82" s="13"/>
      <c r="T82" s="13"/>
      <c r="U82" s="13"/>
      <c r="V82" s="13"/>
      <c r="W82" s="13"/>
      <c r="X82" s="13"/>
      <c r="Y82" s="13"/>
      <c r="Z82" s="13"/>
    </row>
    <row r="83" ht="15.75" customHeight="1">
      <c r="A83" s="14">
        <v>82.0</v>
      </c>
      <c r="B83" s="14" t="s">
        <v>301</v>
      </c>
      <c r="C83" s="14" t="s">
        <v>302</v>
      </c>
      <c r="D83" s="31" t="s">
        <v>303</v>
      </c>
      <c r="E83" s="32">
        <v>45555.0</v>
      </c>
      <c r="F83" s="17" t="s">
        <v>66</v>
      </c>
      <c r="G83" s="23">
        <v>11.0</v>
      </c>
      <c r="H83" s="24" t="s">
        <v>304</v>
      </c>
      <c r="I83" s="13" t="str">
        <f t="shared" ref="I83:I86" si="6">MID(B83,12,2)</f>
        <v>24</v>
      </c>
      <c r="J83" s="13" t="s">
        <v>305</v>
      </c>
      <c r="K83" s="13"/>
      <c r="L83" s="13"/>
      <c r="M83" s="13"/>
      <c r="N83" s="13"/>
      <c r="O83" s="13"/>
      <c r="P83" s="13"/>
      <c r="Q83" s="13"/>
      <c r="R83" s="13"/>
      <c r="S83" s="13"/>
      <c r="T83" s="13"/>
      <c r="U83" s="13"/>
      <c r="V83" s="13"/>
      <c r="W83" s="13"/>
      <c r="X83" s="13"/>
      <c r="Y83" s="13"/>
      <c r="Z83" s="13"/>
    </row>
    <row r="84" ht="15.0" customHeight="1">
      <c r="A84" s="14">
        <v>83.0</v>
      </c>
      <c r="B84" s="31" t="s">
        <v>306</v>
      </c>
      <c r="C84" s="31" t="s">
        <v>307</v>
      </c>
      <c r="D84" s="31" t="s">
        <v>303</v>
      </c>
      <c r="E84" s="32">
        <v>45555.0</v>
      </c>
      <c r="F84" s="17" t="s">
        <v>66</v>
      </c>
      <c r="G84" s="23">
        <v>11.0</v>
      </c>
      <c r="H84" s="24" t="s">
        <v>304</v>
      </c>
      <c r="I84" s="13" t="str">
        <f t="shared" si="6"/>
        <v>24</v>
      </c>
      <c r="J84" s="13" t="s">
        <v>305</v>
      </c>
      <c r="K84" s="13"/>
      <c r="L84" s="13"/>
      <c r="M84" s="13"/>
      <c r="N84" s="13"/>
      <c r="O84" s="13"/>
      <c r="P84" s="13"/>
      <c r="Q84" s="13"/>
      <c r="R84" s="13"/>
      <c r="S84" s="13"/>
      <c r="T84" s="13"/>
      <c r="U84" s="13"/>
      <c r="V84" s="13"/>
      <c r="W84" s="13"/>
      <c r="X84" s="13"/>
      <c r="Y84" s="13"/>
      <c r="Z84" s="13"/>
    </row>
    <row r="85" ht="15.75" customHeight="1">
      <c r="A85" s="14">
        <v>84.0</v>
      </c>
      <c r="B85" s="14" t="s">
        <v>308</v>
      </c>
      <c r="C85" s="14" t="s">
        <v>309</v>
      </c>
      <c r="D85" s="14" t="s">
        <v>303</v>
      </c>
      <c r="E85" s="32">
        <v>45555.0</v>
      </c>
      <c r="F85" s="17" t="s">
        <v>66</v>
      </c>
      <c r="G85" s="23">
        <v>11.0</v>
      </c>
      <c r="H85" s="24" t="s">
        <v>304</v>
      </c>
      <c r="I85" s="13" t="str">
        <f t="shared" si="6"/>
        <v>24</v>
      </c>
      <c r="J85" s="13" t="s">
        <v>305</v>
      </c>
      <c r="K85" s="13"/>
      <c r="L85" s="13"/>
      <c r="M85" s="13"/>
      <c r="N85" s="13"/>
      <c r="O85" s="13"/>
      <c r="P85" s="13"/>
      <c r="Q85" s="13"/>
      <c r="R85" s="13"/>
      <c r="S85" s="13"/>
      <c r="T85" s="13"/>
      <c r="U85" s="13"/>
      <c r="V85" s="13"/>
      <c r="W85" s="13"/>
      <c r="X85" s="13"/>
      <c r="Y85" s="13"/>
      <c r="Z85" s="13"/>
    </row>
    <row r="86" ht="15.75" customHeight="1">
      <c r="A86" s="33">
        <v>85.0</v>
      </c>
      <c r="B86" s="14" t="s">
        <v>310</v>
      </c>
      <c r="C86" s="14" t="s">
        <v>311</v>
      </c>
      <c r="D86" s="14" t="s">
        <v>312</v>
      </c>
      <c r="E86" s="33" t="s">
        <v>313</v>
      </c>
      <c r="F86" s="34" t="s">
        <v>66</v>
      </c>
      <c r="G86" s="23">
        <v>11.0</v>
      </c>
      <c r="H86" s="24" t="s">
        <v>304</v>
      </c>
      <c r="I86" s="13" t="str">
        <f t="shared" si="6"/>
        <v>24</v>
      </c>
      <c r="J86" s="13" t="s">
        <v>305</v>
      </c>
      <c r="K86" s="13"/>
      <c r="L86" s="13"/>
      <c r="M86" s="13"/>
      <c r="N86" s="13"/>
      <c r="O86" s="13"/>
      <c r="P86" s="13"/>
      <c r="Q86" s="13"/>
      <c r="R86" s="13"/>
      <c r="S86" s="13"/>
      <c r="T86" s="13"/>
      <c r="U86" s="13"/>
      <c r="V86" s="13"/>
      <c r="W86" s="13"/>
      <c r="X86" s="13"/>
      <c r="Y86" s="13"/>
      <c r="Z86" s="13"/>
    </row>
    <row r="87" ht="15.75" customHeight="1">
      <c r="A87" s="33"/>
      <c r="B87" s="14"/>
      <c r="C87" s="14" t="s">
        <v>314</v>
      </c>
      <c r="D87" s="14"/>
      <c r="E87" s="33"/>
      <c r="F87" s="34"/>
      <c r="G87" s="23">
        <v>11.0</v>
      </c>
      <c r="H87" s="24" t="s">
        <v>304</v>
      </c>
      <c r="I87" s="13">
        <v>24.0</v>
      </c>
      <c r="J87" s="13" t="s">
        <v>305</v>
      </c>
      <c r="K87" s="13"/>
      <c r="L87" s="13"/>
      <c r="M87" s="13"/>
      <c r="N87" s="13"/>
      <c r="O87" s="13"/>
      <c r="P87" s="13"/>
      <c r="Q87" s="13"/>
      <c r="R87" s="13"/>
      <c r="S87" s="13"/>
      <c r="T87" s="13"/>
      <c r="U87" s="13"/>
      <c r="V87" s="13"/>
      <c r="W87" s="13"/>
      <c r="X87" s="13"/>
      <c r="Y87" s="13"/>
      <c r="Z87" s="13"/>
    </row>
    <row r="88" ht="15.75" customHeight="1">
      <c r="A88" s="33"/>
      <c r="B88" s="14"/>
      <c r="C88" s="14" t="s">
        <v>315</v>
      </c>
      <c r="D88" s="14"/>
      <c r="E88" s="33"/>
      <c r="F88" s="34"/>
      <c r="G88" s="23">
        <v>11.0</v>
      </c>
      <c r="H88" s="24" t="s">
        <v>304</v>
      </c>
      <c r="I88" s="13">
        <v>24.0</v>
      </c>
      <c r="J88" s="13" t="s">
        <v>305</v>
      </c>
      <c r="K88" s="13"/>
      <c r="L88" s="13"/>
      <c r="M88" s="13"/>
      <c r="N88" s="13"/>
      <c r="O88" s="13"/>
      <c r="P88" s="13"/>
      <c r="Q88" s="13"/>
      <c r="R88" s="13"/>
      <c r="S88" s="13"/>
      <c r="T88" s="13"/>
      <c r="U88" s="13"/>
      <c r="V88" s="13"/>
      <c r="W88" s="13"/>
      <c r="X88" s="13"/>
      <c r="Y88" s="13"/>
      <c r="Z88" s="13"/>
    </row>
    <row r="89" ht="15.75" customHeight="1">
      <c r="A89" s="33"/>
      <c r="B89" s="14"/>
      <c r="C89" s="14" t="s">
        <v>316</v>
      </c>
      <c r="D89" s="14"/>
      <c r="E89" s="33"/>
      <c r="F89" s="34"/>
      <c r="G89" s="23">
        <v>11.0</v>
      </c>
      <c r="H89" s="24" t="s">
        <v>304</v>
      </c>
      <c r="I89" s="13">
        <v>24.0</v>
      </c>
      <c r="J89" s="13" t="s">
        <v>305</v>
      </c>
      <c r="K89" s="13"/>
      <c r="L89" s="13"/>
      <c r="M89" s="13"/>
      <c r="N89" s="13"/>
      <c r="O89" s="13"/>
      <c r="P89" s="13"/>
      <c r="Q89" s="13"/>
      <c r="R89" s="13"/>
      <c r="S89" s="13"/>
      <c r="T89" s="13"/>
      <c r="U89" s="13"/>
      <c r="V89" s="13"/>
      <c r="W89" s="13"/>
      <c r="X89" s="13"/>
      <c r="Y89" s="13"/>
      <c r="Z89" s="13"/>
    </row>
    <row r="90" ht="15.75" customHeight="1">
      <c r="A90" s="33"/>
      <c r="B90" s="14"/>
      <c r="C90" s="14" t="s">
        <v>317</v>
      </c>
      <c r="D90" s="14"/>
      <c r="E90" s="33"/>
      <c r="F90" s="34"/>
      <c r="G90" s="23">
        <v>11.0</v>
      </c>
      <c r="H90" s="24" t="s">
        <v>304</v>
      </c>
      <c r="I90" s="13">
        <v>24.0</v>
      </c>
      <c r="J90" s="13" t="s">
        <v>305</v>
      </c>
      <c r="K90" s="13"/>
      <c r="L90" s="13"/>
      <c r="M90" s="13"/>
      <c r="N90" s="13"/>
      <c r="O90" s="13"/>
      <c r="P90" s="13"/>
      <c r="Q90" s="13"/>
      <c r="R90" s="13"/>
      <c r="S90" s="13"/>
      <c r="T90" s="13"/>
      <c r="U90" s="13"/>
      <c r="V90" s="13"/>
      <c r="W90" s="13"/>
      <c r="X90" s="13"/>
      <c r="Y90" s="13"/>
      <c r="Z90" s="13"/>
    </row>
    <row r="91" ht="15.75" customHeight="1">
      <c r="A91" s="33">
        <v>86.0</v>
      </c>
      <c r="B91" s="14" t="s">
        <v>318</v>
      </c>
      <c r="C91" s="14" t="s">
        <v>319</v>
      </c>
      <c r="D91" s="14" t="s">
        <v>303</v>
      </c>
      <c r="E91" s="35" t="s">
        <v>320</v>
      </c>
      <c r="F91" s="34" t="s">
        <v>66</v>
      </c>
      <c r="G91" s="23">
        <v>11.0</v>
      </c>
      <c r="H91" s="24" t="s">
        <v>304</v>
      </c>
      <c r="I91" s="13" t="str">
        <f>MID(B91,12,2)</f>
        <v>24</v>
      </c>
      <c r="J91" s="13" t="s">
        <v>305</v>
      </c>
      <c r="K91" s="13"/>
      <c r="L91" s="13"/>
      <c r="M91" s="13"/>
      <c r="N91" s="13"/>
      <c r="O91" s="13"/>
      <c r="P91" s="13"/>
      <c r="Q91" s="13"/>
      <c r="R91" s="13"/>
      <c r="S91" s="13"/>
      <c r="T91" s="13"/>
      <c r="U91" s="13"/>
      <c r="V91" s="13"/>
      <c r="W91" s="13"/>
      <c r="X91" s="13"/>
      <c r="Y91" s="13"/>
      <c r="Z91" s="13"/>
    </row>
    <row r="92" ht="15.75" customHeight="1">
      <c r="A92" s="36">
        <v>87.0</v>
      </c>
      <c r="B92" s="37" t="s">
        <v>321</v>
      </c>
      <c r="C92" s="38" t="s">
        <v>322</v>
      </c>
      <c r="D92" s="39" t="s">
        <v>323</v>
      </c>
      <c r="E92" s="40" t="s">
        <v>324</v>
      </c>
      <c r="F92" s="41" t="s">
        <v>66</v>
      </c>
      <c r="G92" s="42">
        <v>29.0</v>
      </c>
      <c r="H92" s="24" t="s">
        <v>325</v>
      </c>
      <c r="I92" s="13">
        <v>24.0</v>
      </c>
      <c r="J92" s="13" t="s">
        <v>326</v>
      </c>
      <c r="K92" s="13"/>
      <c r="L92" s="13"/>
      <c r="M92" s="13"/>
      <c r="N92" s="13"/>
      <c r="O92" s="13"/>
      <c r="P92" s="13"/>
      <c r="Q92" s="13"/>
      <c r="R92" s="13"/>
      <c r="S92" s="13"/>
      <c r="T92" s="13"/>
      <c r="U92" s="13"/>
      <c r="V92" s="13"/>
      <c r="W92" s="13"/>
      <c r="X92" s="13"/>
      <c r="Y92" s="13"/>
      <c r="Z92" s="13"/>
    </row>
    <row r="93" ht="15.75" customHeight="1">
      <c r="A93" s="36"/>
      <c r="B93" s="37"/>
      <c r="C93" s="38" t="s">
        <v>327</v>
      </c>
      <c r="D93" s="39"/>
      <c r="E93" s="40"/>
      <c r="F93" s="43"/>
      <c r="G93" s="42">
        <v>29.0</v>
      </c>
      <c r="H93" s="24" t="s">
        <v>325</v>
      </c>
      <c r="I93" s="13">
        <v>24.0</v>
      </c>
      <c r="J93" s="13" t="s">
        <v>326</v>
      </c>
      <c r="K93" s="13"/>
      <c r="L93" s="13"/>
      <c r="M93" s="13"/>
      <c r="N93" s="13"/>
      <c r="O93" s="13"/>
      <c r="P93" s="13"/>
      <c r="Q93" s="13"/>
      <c r="R93" s="13"/>
      <c r="S93" s="13"/>
      <c r="T93" s="13"/>
      <c r="U93" s="13"/>
      <c r="V93" s="13"/>
      <c r="W93" s="13"/>
      <c r="X93" s="13"/>
      <c r="Y93" s="13"/>
      <c r="Z93" s="13"/>
    </row>
    <row r="94" ht="15.75" customHeight="1">
      <c r="A94" s="36"/>
      <c r="B94" s="37"/>
      <c r="C94" s="38" t="s">
        <v>328</v>
      </c>
      <c r="D94" s="39"/>
      <c r="E94" s="40"/>
      <c r="F94" s="43"/>
      <c r="G94" s="42">
        <v>29.0</v>
      </c>
      <c r="H94" s="24" t="s">
        <v>325</v>
      </c>
      <c r="I94" s="13">
        <v>24.0</v>
      </c>
      <c r="J94" s="13" t="s">
        <v>326</v>
      </c>
      <c r="K94" s="13"/>
      <c r="L94" s="13"/>
      <c r="M94" s="13"/>
      <c r="N94" s="13"/>
      <c r="O94" s="13"/>
      <c r="P94" s="13"/>
      <c r="Q94" s="13"/>
      <c r="R94" s="13"/>
      <c r="S94" s="13"/>
      <c r="T94" s="13"/>
      <c r="U94" s="13"/>
      <c r="V94" s="13"/>
      <c r="W94" s="13"/>
      <c r="X94" s="13"/>
      <c r="Y94" s="13"/>
      <c r="Z94" s="13"/>
    </row>
    <row r="95" ht="15.75" customHeight="1">
      <c r="A95" s="36"/>
      <c r="B95" s="37"/>
      <c r="C95" s="38" t="s">
        <v>329</v>
      </c>
      <c r="D95" s="39"/>
      <c r="E95" s="40"/>
      <c r="F95" s="44"/>
      <c r="G95" s="42">
        <v>29.0</v>
      </c>
      <c r="H95" s="24" t="s">
        <v>325</v>
      </c>
      <c r="I95" s="13">
        <v>24.0</v>
      </c>
      <c r="J95" s="13" t="s">
        <v>326</v>
      </c>
      <c r="K95" s="13"/>
      <c r="L95" s="13"/>
      <c r="M95" s="13"/>
      <c r="N95" s="13"/>
      <c r="O95" s="13"/>
      <c r="P95" s="13"/>
      <c r="Q95" s="13"/>
      <c r="R95" s="13"/>
      <c r="S95" s="13"/>
      <c r="T95" s="13"/>
      <c r="U95" s="13"/>
      <c r="V95" s="13"/>
      <c r="W95" s="13"/>
      <c r="X95" s="13"/>
      <c r="Y95" s="13"/>
      <c r="Z95" s="13"/>
    </row>
    <row r="96" ht="15.75" customHeight="1">
      <c r="A96" s="33">
        <v>88.0</v>
      </c>
      <c r="B96" s="14" t="s">
        <v>330</v>
      </c>
      <c r="C96" s="31" t="s">
        <v>331</v>
      </c>
      <c r="D96" s="14" t="s">
        <v>17</v>
      </c>
      <c r="E96" s="45" t="s">
        <v>332</v>
      </c>
      <c r="F96" s="34" t="s">
        <v>66</v>
      </c>
      <c r="G96" s="42">
        <v>29.0</v>
      </c>
      <c r="H96" s="24" t="s">
        <v>325</v>
      </c>
      <c r="I96" s="13">
        <v>24.0</v>
      </c>
      <c r="J96" s="13" t="s">
        <v>326</v>
      </c>
      <c r="K96" s="13"/>
      <c r="L96" s="13"/>
      <c r="M96" s="13"/>
      <c r="N96" s="13"/>
      <c r="O96" s="13"/>
      <c r="P96" s="13"/>
      <c r="Q96" s="13"/>
      <c r="R96" s="13"/>
      <c r="S96" s="13"/>
      <c r="T96" s="13"/>
      <c r="U96" s="13"/>
      <c r="V96" s="13"/>
      <c r="W96" s="13"/>
      <c r="X96" s="13"/>
      <c r="Y96" s="13"/>
      <c r="Z96" s="13"/>
    </row>
    <row r="97" ht="15.75" customHeight="1">
      <c r="A97" s="33">
        <v>89.0</v>
      </c>
      <c r="B97" s="14" t="s">
        <v>333</v>
      </c>
      <c r="C97" s="31" t="s">
        <v>334</v>
      </c>
      <c r="D97" s="14" t="s">
        <v>17</v>
      </c>
      <c r="E97" s="45" t="s">
        <v>29</v>
      </c>
      <c r="F97" s="31" t="s">
        <v>335</v>
      </c>
      <c r="G97" s="23">
        <v>20.0</v>
      </c>
      <c r="H97" s="13">
        <v>9.0</v>
      </c>
      <c r="I97" s="13">
        <v>24.0</v>
      </c>
      <c r="J97" s="13" t="s">
        <v>336</v>
      </c>
      <c r="K97" s="13"/>
      <c r="L97" s="13"/>
      <c r="M97" s="13"/>
      <c r="N97" s="13"/>
      <c r="O97" s="13"/>
      <c r="P97" s="13"/>
      <c r="Q97" s="13"/>
      <c r="R97" s="13"/>
      <c r="S97" s="13"/>
      <c r="T97" s="13"/>
      <c r="U97" s="13"/>
      <c r="V97" s="13"/>
      <c r="W97" s="13"/>
      <c r="X97" s="13"/>
      <c r="Y97" s="13"/>
      <c r="Z97" s="13"/>
    </row>
    <row r="98" ht="15.75" customHeight="1">
      <c r="A98" s="33">
        <v>90.0</v>
      </c>
      <c r="B98" s="14" t="s">
        <v>337</v>
      </c>
      <c r="C98" s="31" t="s">
        <v>338</v>
      </c>
      <c r="D98" s="14" t="s">
        <v>17</v>
      </c>
      <c r="E98" s="45" t="s">
        <v>29</v>
      </c>
      <c r="F98" s="31" t="s">
        <v>339</v>
      </c>
      <c r="G98" s="23">
        <v>20.0</v>
      </c>
      <c r="H98" s="13">
        <v>9.0</v>
      </c>
      <c r="I98" s="13">
        <v>24.0</v>
      </c>
      <c r="J98" s="13" t="s">
        <v>336</v>
      </c>
      <c r="K98" s="13"/>
      <c r="L98" s="13"/>
      <c r="M98" s="13"/>
      <c r="N98" s="13"/>
      <c r="O98" s="13"/>
      <c r="P98" s="13"/>
      <c r="Q98" s="13"/>
      <c r="R98" s="13"/>
      <c r="S98" s="13"/>
      <c r="T98" s="13"/>
      <c r="U98" s="13"/>
      <c r="V98" s="13"/>
      <c r="W98" s="13"/>
      <c r="X98" s="13"/>
      <c r="Y98" s="13"/>
      <c r="Z98" s="13"/>
    </row>
    <row r="99" ht="15.75" customHeight="1">
      <c r="A99" s="33">
        <v>91.0</v>
      </c>
      <c r="B99" s="14" t="s">
        <v>340</v>
      </c>
      <c r="C99" s="31" t="s">
        <v>341</v>
      </c>
      <c r="D99" s="14" t="s">
        <v>17</v>
      </c>
      <c r="E99" s="45" t="s">
        <v>29</v>
      </c>
      <c r="F99" s="31" t="s">
        <v>342</v>
      </c>
      <c r="G99" s="23">
        <v>20.0</v>
      </c>
      <c r="H99" s="13">
        <v>9.0</v>
      </c>
      <c r="I99" s="13">
        <v>24.0</v>
      </c>
      <c r="J99" s="13" t="s">
        <v>336</v>
      </c>
      <c r="K99" s="13"/>
      <c r="L99" s="13"/>
      <c r="M99" s="13"/>
      <c r="N99" s="13"/>
      <c r="O99" s="13"/>
      <c r="P99" s="13"/>
      <c r="Q99" s="13"/>
      <c r="R99" s="13"/>
      <c r="S99" s="13"/>
      <c r="T99" s="13"/>
      <c r="U99" s="13"/>
      <c r="V99" s="13"/>
      <c r="W99" s="13"/>
      <c r="X99" s="13"/>
      <c r="Y99" s="13"/>
      <c r="Z99" s="13"/>
    </row>
    <row r="100" ht="15.75" customHeight="1">
      <c r="A100" s="33">
        <v>92.0</v>
      </c>
      <c r="B100" s="14" t="s">
        <v>343</v>
      </c>
      <c r="C100" s="31" t="s">
        <v>344</v>
      </c>
      <c r="D100" s="14" t="s">
        <v>17</v>
      </c>
      <c r="E100" s="45" t="s">
        <v>29</v>
      </c>
      <c r="F100" s="46" t="s">
        <v>345</v>
      </c>
      <c r="G100" s="23">
        <v>20.0</v>
      </c>
      <c r="H100" s="13">
        <v>9.0</v>
      </c>
      <c r="I100" s="13">
        <v>24.0</v>
      </c>
      <c r="J100" s="13" t="s">
        <v>336</v>
      </c>
      <c r="K100" s="13"/>
      <c r="L100" s="13"/>
      <c r="M100" s="13"/>
      <c r="N100" s="13"/>
      <c r="O100" s="13"/>
      <c r="P100" s="13"/>
      <c r="Q100" s="13"/>
      <c r="R100" s="13"/>
      <c r="S100" s="13"/>
      <c r="T100" s="13"/>
      <c r="U100" s="13"/>
      <c r="V100" s="13"/>
      <c r="W100" s="13"/>
      <c r="X100" s="13"/>
      <c r="Y100" s="13"/>
      <c r="Z100" s="13"/>
    </row>
    <row r="101" ht="15.75" customHeight="1">
      <c r="A101" s="33">
        <v>93.0</v>
      </c>
      <c r="B101" s="14" t="s">
        <v>346</v>
      </c>
      <c r="C101" s="31" t="s">
        <v>347</v>
      </c>
      <c r="D101" s="14" t="s">
        <v>17</v>
      </c>
      <c r="E101" s="45" t="s">
        <v>29</v>
      </c>
      <c r="F101" s="46" t="s">
        <v>345</v>
      </c>
      <c r="G101" s="23">
        <v>20.0</v>
      </c>
      <c r="H101" s="13">
        <v>9.0</v>
      </c>
      <c r="I101" s="13">
        <v>24.0</v>
      </c>
      <c r="J101" s="13" t="s">
        <v>336</v>
      </c>
      <c r="K101" s="13"/>
      <c r="L101" s="13"/>
      <c r="M101" s="13"/>
      <c r="N101" s="13"/>
      <c r="O101" s="13"/>
      <c r="P101" s="13"/>
      <c r="Q101" s="13"/>
      <c r="R101" s="13"/>
      <c r="S101" s="13"/>
      <c r="T101" s="13"/>
      <c r="U101" s="13"/>
      <c r="V101" s="13"/>
      <c r="W101" s="13"/>
      <c r="X101" s="13"/>
      <c r="Y101" s="13"/>
      <c r="Z101" s="13"/>
    </row>
    <row r="102" ht="15.75" customHeight="1">
      <c r="A102" s="33">
        <v>94.0</v>
      </c>
      <c r="B102" s="14" t="s">
        <v>348</v>
      </c>
      <c r="C102" s="31" t="s">
        <v>349</v>
      </c>
      <c r="D102" s="14" t="s">
        <v>350</v>
      </c>
      <c r="E102" s="45" t="s">
        <v>351</v>
      </c>
      <c r="F102" s="47" t="s">
        <v>345</v>
      </c>
      <c r="G102" s="23">
        <v>20.0</v>
      </c>
      <c r="H102" s="13">
        <v>9.0</v>
      </c>
      <c r="I102" s="13">
        <v>24.0</v>
      </c>
      <c r="J102" s="13" t="s">
        <v>336</v>
      </c>
      <c r="K102" s="13"/>
      <c r="L102" s="13"/>
      <c r="M102" s="13"/>
      <c r="N102" s="13"/>
      <c r="O102" s="13"/>
      <c r="P102" s="13"/>
      <c r="Q102" s="13"/>
      <c r="R102" s="13"/>
      <c r="S102" s="13"/>
      <c r="T102" s="13"/>
      <c r="U102" s="13"/>
      <c r="V102" s="13"/>
      <c r="W102" s="13"/>
      <c r="X102" s="13"/>
      <c r="Y102" s="13"/>
      <c r="Z102" s="13"/>
    </row>
    <row r="103" ht="15.75" customHeight="1">
      <c r="A103" s="48">
        <v>95.0</v>
      </c>
      <c r="B103" s="14" t="s">
        <v>10</v>
      </c>
      <c r="C103" s="31" t="s">
        <v>11</v>
      </c>
      <c r="D103" s="14" t="s">
        <v>12</v>
      </c>
      <c r="E103" s="48"/>
      <c r="F103" s="34" t="s">
        <v>13</v>
      </c>
      <c r="G103" s="13">
        <v>18.0</v>
      </c>
      <c r="H103" s="13">
        <v>1.0</v>
      </c>
      <c r="I103" s="13">
        <v>25.0</v>
      </c>
      <c r="J103" s="13" t="s">
        <v>14</v>
      </c>
      <c r="K103" s="13"/>
      <c r="L103" s="13"/>
      <c r="M103" s="13"/>
      <c r="N103" s="13"/>
      <c r="O103" s="13"/>
      <c r="P103" s="13"/>
      <c r="Q103" s="13"/>
      <c r="R103" s="13"/>
      <c r="S103" s="13"/>
      <c r="T103" s="13"/>
      <c r="U103" s="13"/>
      <c r="V103" s="13"/>
      <c r="W103" s="13"/>
      <c r="X103" s="13"/>
      <c r="Y103" s="13"/>
      <c r="Z103" s="13"/>
    </row>
    <row r="104" ht="15.75" customHeight="1">
      <c r="A104" s="48">
        <v>96.0</v>
      </c>
      <c r="B104" s="14" t="s">
        <v>352</v>
      </c>
      <c r="C104" s="31" t="s">
        <v>353</v>
      </c>
      <c r="D104" s="14" t="s">
        <v>17</v>
      </c>
      <c r="E104" s="45" t="s">
        <v>29</v>
      </c>
      <c r="F104" s="47" t="s">
        <v>345</v>
      </c>
      <c r="G104" s="13">
        <v>18.0</v>
      </c>
      <c r="H104" s="13">
        <v>1.0</v>
      </c>
      <c r="I104" s="13">
        <v>25.0</v>
      </c>
      <c r="J104" s="13" t="s">
        <v>14</v>
      </c>
      <c r="K104" s="13"/>
      <c r="L104" s="13"/>
      <c r="M104" s="13"/>
      <c r="N104" s="13"/>
      <c r="O104" s="13"/>
      <c r="P104" s="13"/>
      <c r="Q104" s="13"/>
      <c r="R104" s="13"/>
      <c r="S104" s="13"/>
      <c r="T104" s="13"/>
      <c r="U104" s="13"/>
      <c r="V104" s="13"/>
      <c r="W104" s="13"/>
      <c r="X104" s="13"/>
      <c r="Y104" s="13"/>
      <c r="Z104" s="13"/>
    </row>
    <row r="105" ht="15.75" customHeight="1">
      <c r="A105" s="48">
        <v>97.0</v>
      </c>
      <c r="B105" s="14" t="s">
        <v>15</v>
      </c>
      <c r="C105" s="31" t="s">
        <v>16</v>
      </c>
      <c r="D105" s="14" t="s">
        <v>17</v>
      </c>
      <c r="E105" s="48"/>
      <c r="F105" s="34" t="s">
        <v>13</v>
      </c>
      <c r="G105" s="13">
        <v>18.0</v>
      </c>
      <c r="H105" s="13">
        <v>1.0</v>
      </c>
      <c r="I105" s="13">
        <v>25.0</v>
      </c>
      <c r="J105" s="13" t="s">
        <v>14</v>
      </c>
      <c r="K105" s="13"/>
      <c r="L105" s="13"/>
      <c r="M105" s="13"/>
      <c r="N105" s="13"/>
      <c r="O105" s="13"/>
      <c r="P105" s="13"/>
      <c r="Q105" s="13"/>
      <c r="R105" s="13"/>
      <c r="S105" s="13"/>
      <c r="T105" s="13"/>
      <c r="U105" s="13"/>
      <c r="V105" s="13"/>
      <c r="W105" s="13"/>
      <c r="X105" s="13"/>
      <c r="Y105" s="13"/>
      <c r="Z105" s="13"/>
    </row>
    <row r="106" ht="15.75" customHeight="1">
      <c r="A106" s="48">
        <v>98.0</v>
      </c>
      <c r="B106" s="14" t="s">
        <v>354</v>
      </c>
      <c r="C106" s="31" t="s">
        <v>355</v>
      </c>
      <c r="D106" s="14" t="s">
        <v>17</v>
      </c>
      <c r="E106" s="45" t="s">
        <v>29</v>
      </c>
      <c r="F106" s="47" t="s">
        <v>345</v>
      </c>
      <c r="G106" s="13">
        <v>18.0</v>
      </c>
      <c r="H106" s="13">
        <v>1.0</v>
      </c>
      <c r="I106" s="13">
        <v>25.0</v>
      </c>
      <c r="J106" s="13" t="s">
        <v>14</v>
      </c>
      <c r="K106" s="13"/>
      <c r="L106" s="13"/>
      <c r="M106" s="13"/>
      <c r="N106" s="13"/>
      <c r="O106" s="13"/>
      <c r="P106" s="13"/>
      <c r="Q106" s="13"/>
      <c r="R106" s="13"/>
      <c r="S106" s="13"/>
      <c r="T106" s="13"/>
      <c r="U106" s="13"/>
      <c r="V106" s="13"/>
      <c r="W106" s="13"/>
      <c r="X106" s="13"/>
      <c r="Y106" s="13"/>
      <c r="Z106" s="13"/>
    </row>
    <row r="107" ht="15.75" customHeight="1">
      <c r="A107" s="48">
        <v>99.0</v>
      </c>
      <c r="B107" s="14" t="s">
        <v>356</v>
      </c>
      <c r="C107" s="31" t="s">
        <v>357</v>
      </c>
      <c r="D107" s="14" t="s">
        <v>17</v>
      </c>
      <c r="E107" s="45" t="s">
        <v>29</v>
      </c>
      <c r="F107" s="47" t="s">
        <v>345</v>
      </c>
      <c r="G107" s="13">
        <v>18.0</v>
      </c>
      <c r="H107" s="13">
        <v>1.0</v>
      </c>
      <c r="I107" s="13">
        <v>25.0</v>
      </c>
      <c r="J107" s="13" t="s">
        <v>14</v>
      </c>
      <c r="K107" s="13"/>
      <c r="L107" s="13"/>
      <c r="M107" s="13"/>
      <c r="N107" s="13"/>
      <c r="O107" s="13"/>
      <c r="P107" s="13"/>
      <c r="Q107" s="13"/>
      <c r="R107" s="13"/>
      <c r="S107" s="13"/>
      <c r="T107" s="13"/>
      <c r="U107" s="13"/>
      <c r="V107" s="13"/>
      <c r="W107" s="13"/>
      <c r="X107" s="13"/>
      <c r="Y107" s="13"/>
      <c r="Z107" s="13"/>
    </row>
    <row r="108" ht="15.75" customHeight="1">
      <c r="A108" s="48">
        <v>100.0</v>
      </c>
      <c r="B108" s="14" t="s">
        <v>358</v>
      </c>
      <c r="C108" s="31" t="s">
        <v>359</v>
      </c>
      <c r="D108" s="14" t="s">
        <v>17</v>
      </c>
      <c r="E108" s="45" t="s">
        <v>29</v>
      </c>
      <c r="F108" s="47" t="s">
        <v>345</v>
      </c>
      <c r="G108" s="13">
        <v>18.0</v>
      </c>
      <c r="H108" s="13">
        <v>1.0</v>
      </c>
      <c r="I108" s="13">
        <v>25.0</v>
      </c>
      <c r="J108" s="13" t="s">
        <v>14</v>
      </c>
      <c r="K108" s="13"/>
      <c r="L108" s="13"/>
      <c r="M108" s="13"/>
      <c r="N108" s="13"/>
      <c r="O108" s="13"/>
      <c r="P108" s="13"/>
      <c r="Q108" s="13"/>
      <c r="R108" s="13"/>
      <c r="S108" s="13"/>
      <c r="T108" s="13"/>
      <c r="U108" s="13"/>
      <c r="V108" s="13"/>
      <c r="W108" s="13"/>
      <c r="X108" s="13"/>
      <c r="Y108" s="13"/>
      <c r="Z108" s="13"/>
    </row>
    <row r="109" ht="15.75" customHeight="1">
      <c r="A109" s="48">
        <v>101.0</v>
      </c>
      <c r="B109" s="14" t="s">
        <v>18</v>
      </c>
      <c r="C109" s="31" t="s">
        <v>19</v>
      </c>
      <c r="D109" s="14" t="s">
        <v>20</v>
      </c>
      <c r="E109" s="48"/>
      <c r="F109" s="34" t="s">
        <v>13</v>
      </c>
      <c r="G109" s="13">
        <v>18.0</v>
      </c>
      <c r="H109" s="13">
        <v>1.0</v>
      </c>
      <c r="I109" s="13">
        <v>25.0</v>
      </c>
      <c r="J109" s="13" t="s">
        <v>14</v>
      </c>
      <c r="K109" s="13"/>
      <c r="L109" s="13"/>
      <c r="M109" s="13"/>
      <c r="N109" s="13"/>
      <c r="O109" s="13"/>
      <c r="P109" s="13"/>
      <c r="Q109" s="13"/>
      <c r="R109" s="13"/>
      <c r="S109" s="13"/>
      <c r="T109" s="13"/>
      <c r="U109" s="13"/>
      <c r="V109" s="13"/>
      <c r="W109" s="13"/>
      <c r="X109" s="13"/>
      <c r="Y109" s="13"/>
      <c r="Z109" s="13"/>
    </row>
    <row r="110" ht="15.75" customHeight="1">
      <c r="A110" s="48">
        <v>102.0</v>
      </c>
      <c r="B110" s="14" t="s">
        <v>360</v>
      </c>
      <c r="C110" s="31" t="s">
        <v>361</v>
      </c>
      <c r="D110" s="14" t="s">
        <v>17</v>
      </c>
      <c r="E110" s="45" t="s">
        <v>29</v>
      </c>
      <c r="F110" s="47" t="s">
        <v>345</v>
      </c>
      <c r="G110" s="13">
        <v>18.0</v>
      </c>
      <c r="H110" s="13">
        <v>1.0</v>
      </c>
      <c r="I110" s="13">
        <v>25.0</v>
      </c>
      <c r="J110" s="13" t="s">
        <v>14</v>
      </c>
      <c r="K110" s="13"/>
      <c r="L110" s="13"/>
      <c r="M110" s="13"/>
      <c r="N110" s="13"/>
      <c r="O110" s="13"/>
      <c r="P110" s="13"/>
      <c r="Q110" s="13"/>
      <c r="R110" s="13"/>
      <c r="S110" s="13"/>
      <c r="T110" s="13"/>
      <c r="U110" s="13"/>
      <c r="V110" s="13"/>
      <c r="W110" s="13"/>
      <c r="X110" s="13"/>
      <c r="Y110" s="13"/>
      <c r="Z110" s="13"/>
    </row>
    <row r="111" ht="15.75" customHeight="1">
      <c r="A111" s="48">
        <v>103.0</v>
      </c>
      <c r="B111" s="14" t="s">
        <v>362</v>
      </c>
      <c r="C111" s="31" t="s">
        <v>363</v>
      </c>
      <c r="D111" s="14" t="s">
        <v>364</v>
      </c>
      <c r="E111" s="45" t="s">
        <v>23</v>
      </c>
      <c r="F111" s="47" t="s">
        <v>345</v>
      </c>
      <c r="G111" s="13">
        <v>18.0</v>
      </c>
      <c r="H111" s="13">
        <v>1.0</v>
      </c>
      <c r="I111" s="13">
        <v>25.0</v>
      </c>
      <c r="J111" s="13" t="s">
        <v>14</v>
      </c>
      <c r="K111" s="13"/>
      <c r="L111" s="13"/>
      <c r="M111" s="13"/>
      <c r="N111" s="13"/>
      <c r="O111" s="13"/>
      <c r="P111" s="13"/>
      <c r="Q111" s="13"/>
      <c r="R111" s="13"/>
      <c r="S111" s="13"/>
      <c r="T111" s="13"/>
      <c r="U111" s="13"/>
      <c r="V111" s="13"/>
      <c r="W111" s="13"/>
      <c r="X111" s="13"/>
      <c r="Y111" s="13"/>
      <c r="Z111" s="13"/>
    </row>
    <row r="112" ht="15.75" customHeight="1">
      <c r="A112" s="48">
        <v>104.0</v>
      </c>
      <c r="B112" s="14" t="s">
        <v>365</v>
      </c>
      <c r="C112" s="31" t="s">
        <v>366</v>
      </c>
      <c r="D112" s="14" t="s">
        <v>40</v>
      </c>
      <c r="E112" s="45" t="s">
        <v>23</v>
      </c>
      <c r="F112" s="47" t="s">
        <v>345</v>
      </c>
      <c r="G112" s="13">
        <v>18.0</v>
      </c>
      <c r="H112" s="13">
        <v>1.0</v>
      </c>
      <c r="I112" s="13">
        <v>25.0</v>
      </c>
      <c r="J112" s="13" t="s">
        <v>14</v>
      </c>
      <c r="K112" s="13"/>
      <c r="L112" s="13"/>
      <c r="M112" s="13"/>
      <c r="N112" s="13"/>
      <c r="O112" s="13"/>
      <c r="P112" s="13"/>
      <c r="Q112" s="13"/>
      <c r="R112" s="13"/>
      <c r="S112" s="13"/>
      <c r="T112" s="13"/>
      <c r="U112" s="13"/>
      <c r="V112" s="13"/>
      <c r="W112" s="13"/>
      <c r="X112" s="13"/>
      <c r="Y112" s="13"/>
      <c r="Z112" s="13"/>
    </row>
    <row r="113" ht="15.75" customHeight="1">
      <c r="A113" s="48">
        <v>105.0</v>
      </c>
      <c r="B113" s="14" t="s">
        <v>21</v>
      </c>
      <c r="C113" s="31" t="s">
        <v>22</v>
      </c>
      <c r="D113" s="14" t="s">
        <v>17</v>
      </c>
      <c r="E113" s="34" t="s">
        <v>23</v>
      </c>
      <c r="F113" s="34" t="s">
        <v>13</v>
      </c>
      <c r="G113" s="13">
        <v>28.0</v>
      </c>
      <c r="H113" s="13">
        <v>4.0</v>
      </c>
      <c r="I113" s="13">
        <v>2025.0</v>
      </c>
      <c r="J113" s="13" t="s">
        <v>24</v>
      </c>
      <c r="K113" s="13"/>
      <c r="L113" s="13"/>
      <c r="M113" s="13"/>
      <c r="N113" s="13"/>
      <c r="O113" s="13"/>
      <c r="P113" s="13"/>
      <c r="Q113" s="13"/>
      <c r="R113" s="13"/>
      <c r="S113" s="13"/>
      <c r="T113" s="13"/>
      <c r="U113" s="13"/>
      <c r="V113" s="13"/>
      <c r="W113" s="13"/>
      <c r="X113" s="13"/>
      <c r="Y113" s="13"/>
      <c r="Z113" s="13"/>
    </row>
    <row r="114" ht="15.75" customHeight="1">
      <c r="A114" s="48">
        <v>106.0</v>
      </c>
      <c r="B114" s="14" t="s">
        <v>25</v>
      </c>
      <c r="C114" s="31" t="s">
        <v>26</v>
      </c>
      <c r="D114" s="14" t="s">
        <v>17</v>
      </c>
      <c r="E114" s="34" t="s">
        <v>23</v>
      </c>
      <c r="F114" s="34" t="s">
        <v>13</v>
      </c>
      <c r="G114" s="13">
        <v>28.0</v>
      </c>
      <c r="H114" s="13">
        <v>4.0</v>
      </c>
      <c r="I114" s="13">
        <v>2025.0</v>
      </c>
      <c r="J114" s="13" t="s">
        <v>24</v>
      </c>
      <c r="K114" s="13"/>
      <c r="L114" s="13"/>
      <c r="M114" s="13"/>
      <c r="N114" s="13"/>
      <c r="O114" s="13"/>
      <c r="P114" s="13"/>
      <c r="Q114" s="13"/>
      <c r="R114" s="13"/>
      <c r="S114" s="13"/>
      <c r="T114" s="13"/>
      <c r="U114" s="13"/>
      <c r="V114" s="13"/>
      <c r="W114" s="13"/>
      <c r="X114" s="13"/>
      <c r="Y114" s="13"/>
      <c r="Z114" s="13"/>
    </row>
    <row r="115" ht="15.75" customHeight="1">
      <c r="A115" s="48">
        <v>107.0</v>
      </c>
      <c r="B115" s="14" t="s">
        <v>27</v>
      </c>
      <c r="C115" s="31" t="s">
        <v>28</v>
      </c>
      <c r="D115" s="14" t="s">
        <v>17</v>
      </c>
      <c r="E115" s="45" t="s">
        <v>29</v>
      </c>
      <c r="F115" s="34" t="s">
        <v>13</v>
      </c>
      <c r="G115" s="13">
        <v>28.0</v>
      </c>
      <c r="H115" s="13">
        <v>4.0</v>
      </c>
      <c r="I115" s="13">
        <v>2025.0</v>
      </c>
      <c r="J115" s="13" t="s">
        <v>24</v>
      </c>
      <c r="K115" s="13"/>
      <c r="L115" s="13"/>
      <c r="M115" s="13"/>
      <c r="N115" s="13"/>
      <c r="O115" s="13"/>
      <c r="P115" s="13"/>
      <c r="Q115" s="13"/>
      <c r="R115" s="13"/>
      <c r="S115" s="13"/>
      <c r="T115" s="13"/>
      <c r="U115" s="13"/>
      <c r="V115" s="13"/>
      <c r="W115" s="13"/>
      <c r="X115" s="13"/>
      <c r="Y115" s="13"/>
      <c r="Z115" s="13"/>
    </row>
    <row r="116" ht="15.75" customHeight="1">
      <c r="A116" s="48">
        <v>108.0</v>
      </c>
      <c r="B116" s="14" t="s">
        <v>30</v>
      </c>
      <c r="C116" s="31" t="s">
        <v>31</v>
      </c>
      <c r="D116" s="14" t="s">
        <v>17</v>
      </c>
      <c r="E116" s="49">
        <v>45775.0</v>
      </c>
      <c r="F116" s="34" t="s">
        <v>13</v>
      </c>
      <c r="G116" s="13">
        <v>28.0</v>
      </c>
      <c r="H116" s="13">
        <v>4.0</v>
      </c>
      <c r="I116" s="13">
        <v>2025.0</v>
      </c>
      <c r="J116" s="13" t="s">
        <v>24</v>
      </c>
      <c r="K116" s="13"/>
      <c r="L116" s="13"/>
      <c r="M116" s="13"/>
      <c r="N116" s="13"/>
      <c r="O116" s="13"/>
      <c r="P116" s="13"/>
      <c r="Q116" s="13"/>
      <c r="R116" s="13"/>
      <c r="S116" s="13"/>
      <c r="T116" s="13"/>
      <c r="U116" s="13"/>
      <c r="V116" s="13"/>
      <c r="W116" s="13"/>
      <c r="X116" s="13"/>
      <c r="Y116" s="13"/>
      <c r="Z116" s="13"/>
    </row>
    <row r="117" ht="15.75" customHeight="1">
      <c r="A117" s="48">
        <v>109.0</v>
      </c>
      <c r="B117" s="14" t="s">
        <v>32</v>
      </c>
      <c r="C117" s="31" t="s">
        <v>33</v>
      </c>
      <c r="D117" s="14" t="s">
        <v>34</v>
      </c>
      <c r="E117" s="49">
        <v>45783.0</v>
      </c>
      <c r="F117" s="34" t="s">
        <v>13</v>
      </c>
      <c r="G117" s="13">
        <v>28.0</v>
      </c>
      <c r="H117" s="13">
        <v>4.0</v>
      </c>
      <c r="I117" s="13">
        <v>2025.0</v>
      </c>
      <c r="J117" s="13" t="s">
        <v>24</v>
      </c>
      <c r="K117" s="13"/>
      <c r="L117" s="13"/>
      <c r="M117" s="13"/>
      <c r="N117" s="13"/>
      <c r="O117" s="13"/>
      <c r="P117" s="13"/>
      <c r="Q117" s="13"/>
      <c r="R117" s="13"/>
      <c r="S117" s="13"/>
      <c r="T117" s="13"/>
      <c r="U117" s="13"/>
      <c r="V117" s="13"/>
      <c r="W117" s="13"/>
      <c r="X117" s="13"/>
      <c r="Y117" s="13"/>
      <c r="Z117" s="13"/>
    </row>
    <row r="118" ht="15.75" customHeight="1">
      <c r="A118" s="48">
        <v>110.0</v>
      </c>
      <c r="B118" s="14" t="s">
        <v>35</v>
      </c>
      <c r="C118" s="31" t="s">
        <v>36</v>
      </c>
      <c r="D118" s="14" t="s">
        <v>37</v>
      </c>
      <c r="E118" s="34" t="s">
        <v>23</v>
      </c>
      <c r="F118" s="34" t="s">
        <v>13</v>
      </c>
      <c r="G118" s="13">
        <v>28.0</v>
      </c>
      <c r="H118" s="13">
        <v>4.0</v>
      </c>
      <c r="I118" s="13">
        <v>2025.0</v>
      </c>
      <c r="J118" s="13" t="s">
        <v>24</v>
      </c>
      <c r="K118" s="13"/>
      <c r="L118" s="13"/>
      <c r="M118" s="13"/>
      <c r="N118" s="13"/>
      <c r="O118" s="13"/>
      <c r="P118" s="13"/>
      <c r="Q118" s="13"/>
      <c r="R118" s="13"/>
      <c r="S118" s="13"/>
      <c r="T118" s="13"/>
      <c r="U118" s="13"/>
      <c r="V118" s="13"/>
      <c r="W118" s="13"/>
      <c r="X118" s="13"/>
      <c r="Y118" s="13"/>
      <c r="Z118" s="13"/>
    </row>
    <row r="119" ht="15.75" customHeight="1">
      <c r="A119" s="48">
        <v>111.0</v>
      </c>
      <c r="B119" s="14" t="s">
        <v>38</v>
      </c>
      <c r="C119" s="31" t="s">
        <v>39</v>
      </c>
      <c r="D119" s="14" t="s">
        <v>40</v>
      </c>
      <c r="E119" s="34" t="s">
        <v>23</v>
      </c>
      <c r="F119" s="34" t="s">
        <v>13</v>
      </c>
      <c r="G119" s="13">
        <v>28.0</v>
      </c>
      <c r="H119" s="13">
        <v>4.0</v>
      </c>
      <c r="I119" s="13">
        <v>2025.0</v>
      </c>
      <c r="J119" s="13" t="s">
        <v>24</v>
      </c>
      <c r="K119" s="13"/>
      <c r="L119" s="13"/>
      <c r="M119" s="13"/>
      <c r="N119" s="13"/>
      <c r="O119" s="13"/>
      <c r="P119" s="13"/>
      <c r="Q119" s="13"/>
      <c r="R119" s="13"/>
      <c r="S119" s="13"/>
      <c r="T119" s="13"/>
      <c r="U119" s="13"/>
      <c r="V119" s="13"/>
      <c r="W119" s="13"/>
      <c r="X119" s="13"/>
      <c r="Y119" s="13"/>
      <c r="Z119" s="13"/>
    </row>
    <row r="120" ht="15.75" customHeight="1">
      <c r="A120" s="48">
        <v>112.0</v>
      </c>
      <c r="B120" s="14" t="s">
        <v>41</v>
      </c>
      <c r="C120" s="31" t="s">
        <v>42</v>
      </c>
      <c r="D120" s="14" t="s">
        <v>17</v>
      </c>
      <c r="E120" s="34" t="s">
        <v>23</v>
      </c>
      <c r="F120" s="34"/>
      <c r="G120" s="13">
        <v>2.0</v>
      </c>
      <c r="H120" s="13">
        <v>7.0</v>
      </c>
      <c r="I120" s="13">
        <v>2025.0</v>
      </c>
      <c r="J120" s="13" t="s">
        <v>367</v>
      </c>
      <c r="K120" s="13"/>
      <c r="L120" s="13"/>
      <c r="M120" s="13"/>
      <c r="N120" s="13"/>
      <c r="O120" s="13"/>
      <c r="P120" s="13"/>
      <c r="Q120" s="13"/>
      <c r="R120" s="13"/>
      <c r="S120" s="13"/>
      <c r="T120" s="13"/>
      <c r="U120" s="13"/>
      <c r="V120" s="13"/>
      <c r="W120" s="13"/>
      <c r="X120" s="13"/>
      <c r="Y120" s="13"/>
      <c r="Z120" s="13"/>
    </row>
    <row r="121" ht="15.75" customHeight="1">
      <c r="A121" s="48">
        <v>113.0</v>
      </c>
      <c r="B121" s="14" t="s">
        <v>43</v>
      </c>
      <c r="C121" s="31" t="s">
        <v>44</v>
      </c>
      <c r="D121" s="14" t="s">
        <v>17</v>
      </c>
      <c r="E121" s="34" t="s">
        <v>23</v>
      </c>
      <c r="F121" s="34"/>
      <c r="G121" s="13">
        <v>2.0</v>
      </c>
      <c r="H121" s="13">
        <v>7.0</v>
      </c>
      <c r="I121" s="13">
        <v>2025.0</v>
      </c>
      <c r="J121" s="13" t="s">
        <v>367</v>
      </c>
      <c r="K121" s="13"/>
      <c r="L121" s="13"/>
      <c r="M121" s="13"/>
      <c r="N121" s="13"/>
      <c r="O121" s="13"/>
      <c r="P121" s="13"/>
      <c r="Q121" s="13"/>
      <c r="R121" s="13"/>
      <c r="S121" s="13"/>
      <c r="T121" s="13"/>
      <c r="U121" s="13"/>
      <c r="V121" s="13"/>
      <c r="W121" s="13"/>
      <c r="X121" s="13"/>
      <c r="Y121" s="13"/>
      <c r="Z121" s="13"/>
    </row>
    <row r="122" ht="15.75" customHeight="1">
      <c r="A122" s="48">
        <v>114.0</v>
      </c>
      <c r="B122" s="14" t="s">
        <v>45</v>
      </c>
      <c r="C122" s="31" t="s">
        <v>46</v>
      </c>
      <c r="D122" s="14" t="s">
        <v>47</v>
      </c>
      <c r="E122" s="50" t="s">
        <v>48</v>
      </c>
      <c r="F122" s="34"/>
      <c r="G122" s="13">
        <v>2.0</v>
      </c>
      <c r="H122" s="13">
        <v>7.0</v>
      </c>
      <c r="I122" s="13">
        <v>2025.0</v>
      </c>
      <c r="J122" s="13" t="s">
        <v>367</v>
      </c>
      <c r="K122" s="13"/>
      <c r="L122" s="13"/>
      <c r="M122" s="13"/>
      <c r="N122" s="13"/>
      <c r="O122" s="13"/>
      <c r="P122" s="13"/>
      <c r="Q122" s="13"/>
      <c r="R122" s="13"/>
      <c r="S122" s="13"/>
      <c r="T122" s="13"/>
      <c r="U122" s="13"/>
      <c r="V122" s="13"/>
      <c r="W122" s="13"/>
      <c r="X122" s="13"/>
      <c r="Y122" s="13"/>
      <c r="Z122" s="13"/>
    </row>
    <row r="123" ht="15.75" customHeight="1">
      <c r="A123" s="48">
        <v>115.0</v>
      </c>
      <c r="B123" s="14" t="s">
        <v>49</v>
      </c>
      <c r="C123" s="31" t="s">
        <v>50</v>
      </c>
      <c r="D123" s="14" t="s">
        <v>34</v>
      </c>
      <c r="E123" s="50" t="s">
        <v>48</v>
      </c>
      <c r="F123" s="34"/>
      <c r="G123" s="13">
        <v>2.0</v>
      </c>
      <c r="H123" s="13">
        <v>7.0</v>
      </c>
      <c r="I123" s="13">
        <v>2025.0</v>
      </c>
      <c r="J123" s="13" t="s">
        <v>367</v>
      </c>
      <c r="K123" s="13"/>
      <c r="L123" s="13"/>
      <c r="M123" s="13"/>
      <c r="N123" s="13"/>
      <c r="O123" s="13"/>
      <c r="P123" s="13"/>
      <c r="Q123" s="13"/>
      <c r="R123" s="13"/>
      <c r="S123" s="13"/>
      <c r="T123" s="13"/>
      <c r="U123" s="13"/>
      <c r="V123" s="13"/>
      <c r="W123" s="13"/>
      <c r="X123" s="13"/>
      <c r="Y123" s="13"/>
      <c r="Z123" s="13"/>
    </row>
    <row r="124" ht="15.75" customHeight="1">
      <c r="A124" s="48">
        <v>116.0</v>
      </c>
      <c r="B124" s="14" t="s">
        <v>51</v>
      </c>
      <c r="C124" s="31" t="s">
        <v>52</v>
      </c>
      <c r="D124" s="14" t="s">
        <v>17</v>
      </c>
      <c r="E124" s="34" t="s">
        <v>53</v>
      </c>
      <c r="F124" s="34"/>
      <c r="G124" s="13">
        <v>2.0</v>
      </c>
      <c r="H124" s="13">
        <v>7.0</v>
      </c>
      <c r="I124" s="13">
        <v>2025.0</v>
      </c>
      <c r="J124" s="13" t="s">
        <v>367</v>
      </c>
      <c r="K124" s="13"/>
      <c r="L124" s="13"/>
      <c r="M124" s="13"/>
      <c r="N124" s="13"/>
      <c r="O124" s="13"/>
      <c r="P124" s="13"/>
      <c r="Q124" s="13"/>
      <c r="R124" s="13"/>
      <c r="S124" s="13"/>
      <c r="T124" s="13"/>
      <c r="U124" s="13"/>
      <c r="V124" s="13"/>
      <c r="W124" s="13"/>
      <c r="X124" s="13"/>
      <c r="Y124" s="13"/>
      <c r="Z124" s="13"/>
    </row>
    <row r="125" ht="15.75" customHeight="1">
      <c r="A125" s="48">
        <v>117.0</v>
      </c>
      <c r="B125" s="14" t="s">
        <v>54</v>
      </c>
      <c r="C125" s="31" t="s">
        <v>55</v>
      </c>
      <c r="D125" s="14" t="s">
        <v>17</v>
      </c>
      <c r="E125" s="34" t="s">
        <v>56</v>
      </c>
      <c r="F125" s="34"/>
      <c r="G125" s="13">
        <v>2.0</v>
      </c>
      <c r="H125" s="13">
        <v>7.0</v>
      </c>
      <c r="I125" s="13">
        <v>2025.0</v>
      </c>
      <c r="J125" s="13" t="s">
        <v>367</v>
      </c>
      <c r="K125" s="13"/>
      <c r="L125" s="13"/>
      <c r="M125" s="13"/>
      <c r="N125" s="13"/>
      <c r="O125" s="13"/>
      <c r="P125" s="13"/>
      <c r="Q125" s="13"/>
      <c r="R125" s="13"/>
      <c r="S125" s="13"/>
      <c r="T125" s="13"/>
      <c r="U125" s="13"/>
      <c r="V125" s="13"/>
      <c r="W125" s="13"/>
      <c r="X125" s="13"/>
      <c r="Y125" s="13"/>
      <c r="Z125" s="13"/>
    </row>
    <row r="126" ht="15.75" customHeight="1">
      <c r="A126" s="48">
        <v>118.0</v>
      </c>
      <c r="B126" s="14" t="s">
        <v>57</v>
      </c>
      <c r="C126" s="31" t="s">
        <v>58</v>
      </c>
      <c r="D126" s="14" t="s">
        <v>37</v>
      </c>
      <c r="E126" s="50" t="s">
        <v>48</v>
      </c>
      <c r="F126" s="34"/>
      <c r="G126" s="13">
        <v>2.0</v>
      </c>
      <c r="H126" s="13">
        <v>7.0</v>
      </c>
      <c r="I126" s="13">
        <v>2025.0</v>
      </c>
      <c r="J126" s="13" t="s">
        <v>367</v>
      </c>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J$102"/>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2025-01-03T18:45:21Z</dcterms:created>
  <dc:creator>123</dc:creator>
</cp:coreProperties>
</file>